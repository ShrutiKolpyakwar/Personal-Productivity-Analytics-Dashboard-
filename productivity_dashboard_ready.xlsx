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SHRUTI\Downloads\"/>
    </mc:Choice>
  </mc:AlternateContent>
  <xr:revisionPtr revIDLastSave="0" documentId="13_ncr:1_{B0C04258-5F49-44FA-851C-2AF04A5162E7}" xr6:coauthVersionLast="47" xr6:coauthVersionMax="47" xr10:uidLastSave="{00000000-0000-0000-0000-000000000000}"/>
  <bookViews>
    <workbookView xWindow="-108" yWindow="-108" windowWidth="23256" windowHeight="12456" activeTab="2" xr2:uid="{00000000-000D-0000-FFFF-FFFF00000000}"/>
  </bookViews>
  <sheets>
    <sheet name="Pivot2" sheetId="3" r:id="rId1"/>
    <sheet name="Pivot4" sheetId="5" r:id="rId2"/>
    <sheet name="Dashboard" sheetId="6" r:id="rId3"/>
    <sheet name="Pivot1" sheetId="2" r:id="rId4"/>
    <sheet name="Pivot3" sheetId="4" r:id="rId5"/>
    <sheet name="Data_set" sheetId="1" r:id="rId6"/>
  </sheets>
  <definedNames>
    <definedName name="Slicer_Date">#N/A</definedName>
    <definedName name="Slicer_Moo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6" l="1"/>
  <c r="G2" i="6"/>
  <c r="Q2" i="6"/>
  <c r="I2" i="6"/>
</calcChain>
</file>

<file path=xl/sharedStrings.xml><?xml version="1.0" encoding="utf-8"?>
<sst xmlns="http://schemas.openxmlformats.org/spreadsheetml/2006/main" count="153" uniqueCount="48">
  <si>
    <t>Date</t>
  </si>
  <si>
    <t>User</t>
  </si>
  <si>
    <t>ScreenTime_Hours</t>
  </si>
  <si>
    <t>Study_Hours</t>
  </si>
  <si>
    <t>Sleep_Hours</t>
  </si>
  <si>
    <t>SocialMedia_Hours</t>
  </si>
  <si>
    <t>Exercise_Hours</t>
  </si>
  <si>
    <t>Tasks_Completed</t>
  </si>
  <si>
    <t>Mood</t>
  </si>
  <si>
    <t>Focus_Score</t>
  </si>
  <si>
    <t>ProductivityScore</t>
  </si>
  <si>
    <t>HighFocusFlag</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</si>
  <si>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</si>
  <si>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</si>
  <si>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</si>
  <si>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</si>
  <si>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</si>
  <si>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</si>
  <si>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</si>
  <si>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</si>
  <si>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</si>
  <si>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</si>
  <si>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</si>
  <si>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</si>
  <si>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</si>
  <si>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</si>
  <si>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</si>
  <si>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</si>
  <si>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</si>
  <si>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</si>
  <si>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</si>
  <si>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</si>
  <si>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A</t>
  </si>
  <si>
    <t>Good</t>
  </si>
  <si>
    <t>Low</t>
  </si>
  <si>
    <t>Great</t>
  </si>
  <si>
    <t>Bad</t>
  </si>
  <si>
    <t>Row Labels</t>
  </si>
  <si>
    <t>Grand Total</t>
  </si>
  <si>
    <t>Average of Focus_Score</t>
  </si>
  <si>
    <t>Focus trend</t>
  </si>
  <si>
    <t>Mood distribution</t>
  </si>
  <si>
    <t>Count of Date</t>
  </si>
  <si>
    <t>Screen vs Study</t>
  </si>
  <si>
    <t>Sum of ScreenTime_Hours</t>
  </si>
  <si>
    <t>Sum of Study_Hours</t>
  </si>
  <si>
    <t>Productivity by day</t>
  </si>
  <si>
    <t>Sum of ProductivityScore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</si>
</sst>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rgb="FFFF0000"/>
      <name val="Calibri"/>
      <family val="2"/>
      <scheme val="minor"/>
    </font>
    <font>
      <sz val="11"/>
      <color theme="0"/>
      <name val="Calibri"/>
      <family val="2"/>
      <scheme val="minor"/>
    </font>
    <font>
      <b/>
      <sz val="22"/>
      <color rgb="FFFF0000"/>
      <name val="Calibri"/>
      <family val="2"/>
      <scheme val="minor"/>
    </font>
    <font>
      <b/>
      <sz val="36"/>
      <color theme="0"/>
      <name val="Calibri"/>
      <family val="2"/>
      <scheme val="minor"/>
    </font>
    <font>
      <sz val="36"/>
      <color theme="0"/>
      <name val="Calibri"/>
      <family val="2"/>
      <scheme val="minor"/>
    </font>
    <font>
      <sz val="16"/>
      <color theme="0"/>
      <name val="Calibri"/>
      <family val="2"/>
      <scheme val="minor"/>
    </font>
    <font>
      <sz val="14"/>
      <color theme="0"/>
      <name val="Calibri"/>
      <family val="2"/>
      <scheme val="minor"/>
    </font>
    <font>
      <b/>
      <sz val="26"/>
      <color theme="0"/>
      <name val="Calibri"/>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4" fillId="0" borderId="0" xfId="0" applyFont="1"/>
    <xf numFmtId="0" fontId="2" fillId="2" borderId="0" xfId="0" applyFont="1"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3" fillId="2" borderId="0" xfId="0" applyFont="1" applyFill="1"/>
    <xf numFmtId="0" fontId="9" fillId="2" borderId="0" xfId="0" applyFont="1" applyFill="1"/>
  </cellXfs>
  <cellStyles count="1">
    <cellStyle name="Normal" xfId="0" builtinId="0"/>
  </cellStyles>
  <dxfs count="0"/>
  <tableStyles count="0" defaultTableStyle="TableStyleMedium9"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[productivity_dashboard_ready.xlsx]Pivot2!PivotTable5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800"/>
              <a:t>Model</a:t>
            </a:r>
            <a:r>
              <a:rPr lang="en-US" sz="2800" baseline="0"/>
              <a:t> Distribution</a:t>
            </a:r>
            <a:endParaRPr lang="en-US" sz="28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Pivot2!$C$4</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00D-430D-A6F7-96E125108E8D}"/>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00D-430D-A6F7-96E125108E8D}"/>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00D-430D-A6F7-96E125108E8D}"/>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00D-430D-A6F7-96E125108E8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Pivot2!$B$5:$B$9</c:f>
              <c:strCache>
                <c:ptCount val="4"/>
                <c:pt idx="0">
                  <c:v>Bad</c:v>
                </c:pt>
                <c:pt idx="1">
                  <c:v>Good</c:v>
                </c:pt>
                <c:pt idx="2">
                  <c:v>Great</c:v>
                </c:pt>
                <c:pt idx="3">
                  <c:v>Low</c:v>
                </c:pt>
              </c:strCache>
            </c:strRef>
          </c:cat>
          <c:val>
            <c:numRef>
              <c:f>Pivot2!$C$5:$C$9</c:f>
              <c:numCache>
                <c:formatCode>General</c:formatCode>
                <c:ptCount val="4"/>
                <c:pt idx="0">
                  <c:v>3</c:v>
                </c:pt>
                <c:pt idx="1">
                  <c:v>4</c:v>
                </c:pt>
                <c:pt idx="2">
                  <c:v>7</c:v>
                </c:pt>
                <c:pt idx="3">
                  <c:v>6</c:v>
                </c:pt>
              </c:numCache>
            </c:numRef>
          </c:val>
          <c:extLst>
            <c:ext xmlns:c16="http://schemas.microsoft.com/office/drawing/2014/chart" uri="{C3380CC4-5D6E-409C-BE32-E72D297353CC}">
              <c16:uniqueId val="{00000000-5162-4CCC-B20C-32744A4B12C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19050" cap="flat" cmpd="sng" algn="ctr">
      <a:solidFill>
        <a:schemeClr val="tx1"/>
      </a:solidFill>
      <a:prstDash val="sysDot"/>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[productivity_dashboard_ready.xlsx]Pivot4!PivotTable7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t>Productivity</a:t>
            </a:r>
            <a:r>
              <a:rPr lang="en-US" sz="2800" baseline="0"/>
              <a:t> By Day</a:t>
            </a:r>
            <a:endParaRPr lang="en-US" sz="2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Pivot4!$C$4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Pivot4!$B$5:$B$25</c:f>
              <c:strCache>
                <c:ptCount val="20"/>
                <c:pt idx="0">
                  <c:v>2026-01-01</c:v>
                </c:pt>
                <c:pt idx="1">
                  <c:v>2026-01-02</c:v>
                </c:pt>
                <c:pt idx="2">
                  <c:v>2026-01-03</c:v>
                </c:pt>
                <c:pt idx="3">
                  <c:v>2026-01-04</c:v>
                </c:pt>
                <c:pt idx="4">
                  <c:v>2026-01-05</c:v>
                </c:pt>
                <c:pt idx="5">
                  <c:v>2026-01-06</c:v>
                </c:pt>
                <c:pt idx="6">
                  <c:v>2026-01-07</c:v>
                </c:pt>
                <c:pt idx="7">
                  <c:v>2026-01-08</c:v>
                </c:pt>
                <c:pt idx="8">
                  <c:v>2026-01-09</c:v>
                </c:pt>
                <c:pt idx="9">
                  <c:v>2026-01-10</c:v>
                </c:pt>
                <c:pt idx="10">
                  <c:v>2026-01-11</c:v>
                </c:pt>
                <c:pt idx="11">
                  <c:v>2026-01-12</c:v>
                </c:pt>
                <c:pt idx="12">
                  <c:v>2026-01-13</c:v>
                </c:pt>
                <c:pt idx="13">
                  <c:v>2026-01-14</c:v>
                </c:pt>
                <c:pt idx="14">
                  <c:v>2026-01-15</c:v>
                </c:pt>
                <c:pt idx="15">
                  <c:v>2026-01-16</c:v>
                </c:pt>
                <c:pt idx="16">
                  <c:v>2026-01-17</c:v>
                </c:pt>
                <c:pt idx="17">
                  <c:v>2026-01-18</c:v>
                </c:pt>
                <c:pt idx="18">
                  <c:v>2026-01-19</c:v>
                </c:pt>
                <c:pt idx="19">
                  <c:v>2026-01-20</c:v>
                </c:pt>
              </c:strCache>
            </c:strRef>
          </c:cat>
          <c:val>
            <c:numRef>
              <c:f>Pivot4!$C$5:$C$25</c:f>
              <c:numCache>
                <c:formatCode>General</c:formatCode>
                <c:ptCount val="20"/>
                <c:pt idx="0">
                  <c:v>24</c:v>
                </c:pt>
                <c:pt idx="1">
                  <c:v>10</c:v>
                </c:pt>
                <c:pt idx="2">
                  <c:v>32</c:v>
                </c:pt>
                <c:pt idx="3">
                  <c:v>5</c:v>
                </c:pt>
                <c:pt idx="4">
                  <c:v>38</c:v>
                </c:pt>
                <c:pt idx="5">
                  <c:v>1</c:v>
                </c:pt>
                <c:pt idx="6">
                  <c:v>24</c:v>
                </c:pt>
                <c:pt idx="7">
                  <c:v>11</c:v>
                </c:pt>
                <c:pt idx="8">
                  <c:v>32</c:v>
                </c:pt>
                <c:pt idx="9">
                  <c:v>4</c:v>
                </c:pt>
                <c:pt idx="10">
                  <c:v>24</c:v>
                </c:pt>
                <c:pt idx="11">
                  <c:v>11</c:v>
                </c:pt>
                <c:pt idx="12">
                  <c:v>38</c:v>
                </c:pt>
                <c:pt idx="13">
                  <c:v>1</c:v>
                </c:pt>
                <c:pt idx="14">
                  <c:v>32</c:v>
                </c:pt>
                <c:pt idx="15">
                  <c:v>24</c:v>
                </c:pt>
                <c:pt idx="16">
                  <c:v>10</c:v>
                </c:pt>
                <c:pt idx="17">
                  <c:v>32</c:v>
                </c:pt>
                <c:pt idx="18">
                  <c:v>5</c:v>
                </c:pt>
                <c:pt idx="19">
                  <c:v>38</c:v>
                </c:pt>
              </c:numCache>
            </c:numRef>
          </c:val>
          <c:extLst>
            <c:ext xmlns:c16="http://schemas.microsoft.com/office/drawing/2014/chart" uri="{C3380CC4-5D6E-409C-BE32-E72D297353CC}">
              <c16:uniqueId val="{00000000-6DE8-479D-AA9D-AC6946D28754}"/>
            </c:ext>
          </c:extLst>
        </c:ser>
        <c:dLbls>
          <c:showLegendKey val="0"/>
          <c:showVal val="0"/>
          <c:showCatName val="0"/>
          <c:showSerName val="0"/>
          <c:showPercent val="0"/>
          <c:showBubbleSize val="0"/>
        </c:dLbls>
        <c:gapWidth val="115"/>
        <c:overlap val="-20"/>
        <c:axId val="1133357104"/>
        <c:axId val="1126933584"/>
      </c:barChart>
      <c:catAx>
        <c:axId val="11333571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933584"/>
        <c:crosses val="autoZero"/>
        <c:auto val="1"/>
        <c:lblAlgn val="ctr"/>
        <c:lblOffset val="100"/>
        <c:noMultiLvlLbl val="0"/>
      </c:catAx>
      <c:valAx>
        <c:axId val="11269335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35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[productivity_dashboard_ready.xlsx]Pivot1!PivotTable1</c:name>
    <c:fmtId val="7"/>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Focus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Pivot1!$B$3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Pivot1!$A$4:$A$24</c:f>
              <c:strCache>
                <c:ptCount val="20"/>
                <c:pt idx="0">
                  <c:v>2026-01-01</c:v>
                </c:pt>
                <c:pt idx="1">
                  <c:v>2026-01-02</c:v>
                </c:pt>
                <c:pt idx="2">
                  <c:v>2026-01-03</c:v>
                </c:pt>
                <c:pt idx="3">
                  <c:v>2026-01-04</c:v>
                </c:pt>
                <c:pt idx="4">
                  <c:v>2026-01-05</c:v>
                </c:pt>
                <c:pt idx="5">
                  <c:v>2026-01-06</c:v>
                </c:pt>
                <c:pt idx="6">
                  <c:v>2026-01-07</c:v>
                </c:pt>
                <c:pt idx="7">
                  <c:v>2026-01-08</c:v>
                </c:pt>
                <c:pt idx="8">
                  <c:v>2026-01-09</c:v>
                </c:pt>
                <c:pt idx="9">
                  <c:v>2026-01-10</c:v>
                </c:pt>
                <c:pt idx="10">
                  <c:v>2026-01-11</c:v>
                </c:pt>
                <c:pt idx="11">
                  <c:v>2026-01-12</c:v>
                </c:pt>
                <c:pt idx="12">
                  <c:v>2026-01-13</c:v>
                </c:pt>
                <c:pt idx="13">
                  <c:v>2026-01-14</c:v>
                </c:pt>
                <c:pt idx="14">
                  <c:v>2026-01-15</c:v>
                </c:pt>
                <c:pt idx="15">
                  <c:v>2026-01-16</c:v>
                </c:pt>
                <c:pt idx="16">
                  <c:v>2026-01-17</c:v>
                </c:pt>
                <c:pt idx="17">
                  <c:v>2026-01-18</c:v>
                </c:pt>
                <c:pt idx="18">
                  <c:v>2026-01-19</c:v>
                </c:pt>
                <c:pt idx="19">
                  <c:v>2026-01-20</c:v>
                </c:pt>
              </c:strCache>
            </c:strRef>
          </c:cat>
          <c:val>
            <c:numRef>
              <c:f>Pivot1!$B$4:$B$24</c:f>
              <c:numCache>
                <c:formatCode>General</c:formatCode>
                <c:ptCount val="20"/>
                <c:pt idx="0">
                  <c:v>78</c:v>
                </c:pt>
                <c:pt idx="1">
                  <c:v>60</c:v>
                </c:pt>
                <c:pt idx="2">
                  <c:v>85</c:v>
                </c:pt>
                <c:pt idx="3">
                  <c:v>55</c:v>
                </c:pt>
                <c:pt idx="4">
                  <c:v>90</c:v>
                </c:pt>
                <c:pt idx="5">
                  <c:v>50</c:v>
                </c:pt>
                <c:pt idx="6">
                  <c:v>75</c:v>
                </c:pt>
                <c:pt idx="7">
                  <c:v>62</c:v>
                </c:pt>
                <c:pt idx="8">
                  <c:v>88</c:v>
                </c:pt>
                <c:pt idx="9">
                  <c:v>52</c:v>
                </c:pt>
                <c:pt idx="10">
                  <c:v>77</c:v>
                </c:pt>
                <c:pt idx="11">
                  <c:v>63</c:v>
                </c:pt>
                <c:pt idx="12">
                  <c:v>91</c:v>
                </c:pt>
                <c:pt idx="13">
                  <c:v>49</c:v>
                </c:pt>
                <c:pt idx="14">
                  <c:v>89</c:v>
                </c:pt>
                <c:pt idx="15">
                  <c:v>76</c:v>
                </c:pt>
                <c:pt idx="16">
                  <c:v>61</c:v>
                </c:pt>
                <c:pt idx="17">
                  <c:v>87</c:v>
                </c:pt>
                <c:pt idx="18">
                  <c:v>54</c:v>
                </c:pt>
                <c:pt idx="19">
                  <c:v>92</c:v>
                </c:pt>
              </c:numCache>
            </c:numRef>
          </c:val>
          <c:smooth val="0"/>
          <c:extLst>
            <c:ext xmlns:c16="http://schemas.microsoft.com/office/drawing/2014/chart" uri="{C3380CC4-5D6E-409C-BE32-E72D297353CC}">
              <c16:uniqueId val="{00000000-DCD4-430E-9899-2F1EBD15EE13}"/>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62470624"/>
        <c:axId val="1062476384"/>
      </c:lineChart>
      <c:catAx>
        <c:axId val="10624706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62476384"/>
        <c:crosses val="autoZero"/>
        <c:auto val="1"/>
        <c:lblAlgn val="ctr"/>
        <c:lblOffset val="100"/>
        <c:noMultiLvlLbl val="0"/>
      </c:catAx>
      <c:valAx>
        <c:axId val="106247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6247062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[productivity_dashboard_ready.xlsx]Pivot3!PivotTable6</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Pivot3!$C$4</c:f>
              <c:strCache>
                <c:ptCount val="1"/>
                <c:pt idx="0">
                  <c:v>Sum of ScreenTime_Hours</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Pivot3!$B$5:$B$25</c:f>
              <c:strCache>
                <c:ptCount val="20"/>
                <c:pt idx="0">
                  <c:v>2026-01-01</c:v>
                </c:pt>
                <c:pt idx="1">
                  <c:v>2026-01-02</c:v>
                </c:pt>
                <c:pt idx="2">
                  <c:v>2026-01-03</c:v>
                </c:pt>
                <c:pt idx="3">
                  <c:v>2026-01-04</c:v>
                </c:pt>
                <c:pt idx="4">
                  <c:v>2026-01-05</c:v>
                </c:pt>
                <c:pt idx="5">
                  <c:v>2026-01-06</c:v>
                </c:pt>
                <c:pt idx="6">
                  <c:v>2026-01-07</c:v>
                </c:pt>
                <c:pt idx="7">
                  <c:v>2026-01-08</c:v>
                </c:pt>
                <c:pt idx="8">
                  <c:v>2026-01-09</c:v>
                </c:pt>
                <c:pt idx="9">
                  <c:v>2026-01-10</c:v>
                </c:pt>
                <c:pt idx="10">
                  <c:v>2026-01-11</c:v>
                </c:pt>
                <c:pt idx="11">
                  <c:v>2026-01-12</c:v>
                </c:pt>
                <c:pt idx="12">
                  <c:v>2026-01-13</c:v>
                </c:pt>
                <c:pt idx="13">
                  <c:v>2026-01-14</c:v>
                </c:pt>
                <c:pt idx="14">
                  <c:v>2026-01-15</c:v>
                </c:pt>
                <c:pt idx="15">
                  <c:v>2026-01-16</c:v>
                </c:pt>
                <c:pt idx="16">
                  <c:v>2026-01-17</c:v>
                </c:pt>
                <c:pt idx="17">
                  <c:v>2026-01-18</c:v>
                </c:pt>
                <c:pt idx="18">
                  <c:v>2026-01-19</c:v>
                </c:pt>
                <c:pt idx="19">
                  <c:v>2026-01-20</c:v>
                </c:pt>
              </c:strCache>
            </c:strRef>
          </c:cat>
          <c:val>
            <c:numRef>
              <c:f>Pivot3!$C$5:$C$25</c:f>
              <c:numCache>
                <c:formatCode>General</c:formatCode>
                <c:ptCount val="20"/>
                <c:pt idx="0">
                  <c:v>6</c:v>
                </c:pt>
                <c:pt idx="1">
                  <c:v>8</c:v>
                </c:pt>
                <c:pt idx="2">
                  <c:v>5</c:v>
                </c:pt>
                <c:pt idx="3">
                  <c:v>7</c:v>
                </c:pt>
                <c:pt idx="4">
                  <c:v>4</c:v>
                </c:pt>
                <c:pt idx="5">
                  <c:v>9</c:v>
                </c:pt>
                <c:pt idx="6">
                  <c:v>6</c:v>
                </c:pt>
                <c:pt idx="7">
                  <c:v>7</c:v>
                </c:pt>
                <c:pt idx="8">
                  <c:v>5</c:v>
                </c:pt>
                <c:pt idx="9">
                  <c:v>8</c:v>
                </c:pt>
                <c:pt idx="10">
                  <c:v>6</c:v>
                </c:pt>
                <c:pt idx="11">
                  <c:v>7</c:v>
                </c:pt>
                <c:pt idx="12">
                  <c:v>4</c:v>
                </c:pt>
                <c:pt idx="13">
                  <c:v>9</c:v>
                </c:pt>
                <c:pt idx="14">
                  <c:v>5</c:v>
                </c:pt>
                <c:pt idx="15">
                  <c:v>6</c:v>
                </c:pt>
                <c:pt idx="16">
                  <c:v>8</c:v>
                </c:pt>
                <c:pt idx="17">
                  <c:v>5</c:v>
                </c:pt>
                <c:pt idx="18">
                  <c:v>7</c:v>
                </c:pt>
                <c:pt idx="19">
                  <c:v>4</c:v>
                </c:pt>
              </c:numCache>
            </c:numRef>
          </c:val>
          <c:extLst>
            <c:ext xmlns:c16="http://schemas.microsoft.com/office/drawing/2014/chart" uri="{C3380CC4-5D6E-409C-BE32-E72D297353CC}">
              <c16:uniqueId val="{00000000-8514-47FC-8779-9806AEEB31CE}"/>
            </c:ext>
          </c:extLst>
        </c:ser>
        <c:ser>
          <c:idx val="1"/>
          <c:order val="1"/>
          <c:tx>
            <c:strRef>
              <c:f>Pivot3!$D$4</c:f>
              <c:strCache>
                <c:ptCount val="1"/>
                <c:pt idx="0">
                  <c:v>Sum of Study_Hours</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Pivot3!$B$5:$B$25</c:f>
              <c:strCache>
                <c:ptCount val="20"/>
                <c:pt idx="0">
                  <c:v>2026-01-01</c:v>
                </c:pt>
                <c:pt idx="1">
                  <c:v>2026-01-02</c:v>
                </c:pt>
                <c:pt idx="2">
                  <c:v>2026-01-03</c:v>
                </c:pt>
                <c:pt idx="3">
                  <c:v>2026-01-04</c:v>
                </c:pt>
                <c:pt idx="4">
                  <c:v>2026-01-05</c:v>
                </c:pt>
                <c:pt idx="5">
                  <c:v>2026-01-06</c:v>
                </c:pt>
                <c:pt idx="6">
                  <c:v>2026-01-07</c:v>
                </c:pt>
                <c:pt idx="7">
                  <c:v>2026-01-08</c:v>
                </c:pt>
                <c:pt idx="8">
                  <c:v>2026-01-09</c:v>
                </c:pt>
                <c:pt idx="9">
                  <c:v>2026-01-10</c:v>
                </c:pt>
                <c:pt idx="10">
                  <c:v>2026-01-11</c:v>
                </c:pt>
                <c:pt idx="11">
                  <c:v>2026-01-12</c:v>
                </c:pt>
                <c:pt idx="12">
                  <c:v>2026-01-13</c:v>
                </c:pt>
                <c:pt idx="13">
                  <c:v>2026-01-14</c:v>
                </c:pt>
                <c:pt idx="14">
                  <c:v>2026-01-15</c:v>
                </c:pt>
                <c:pt idx="15">
                  <c:v>2026-01-16</c:v>
                </c:pt>
                <c:pt idx="16">
                  <c:v>2026-01-17</c:v>
                </c:pt>
                <c:pt idx="17">
                  <c:v>2026-01-18</c:v>
                </c:pt>
                <c:pt idx="18">
                  <c:v>2026-01-19</c:v>
                </c:pt>
                <c:pt idx="19">
                  <c:v>2026-01-20</c:v>
                </c:pt>
              </c:strCache>
            </c:strRef>
          </c:cat>
          <c:val>
            <c:numRef>
              <c:f>Pivot3!$D$5:$D$25</c:f>
              <c:numCache>
                <c:formatCode>General</c:formatCode>
                <c:ptCount val="20"/>
                <c:pt idx="0">
                  <c:v>4</c:v>
                </c:pt>
                <c:pt idx="1">
                  <c:v>3</c:v>
                </c:pt>
                <c:pt idx="2">
                  <c:v>5</c:v>
                </c:pt>
                <c:pt idx="3">
                  <c:v>2</c:v>
                </c:pt>
                <c:pt idx="4">
                  <c:v>6</c:v>
                </c:pt>
                <c:pt idx="5">
                  <c:v>2</c:v>
                </c:pt>
                <c:pt idx="6">
                  <c:v>4</c:v>
                </c:pt>
                <c:pt idx="7">
                  <c:v>3</c:v>
                </c:pt>
                <c:pt idx="8">
                  <c:v>5</c:v>
                </c:pt>
                <c:pt idx="9">
                  <c:v>2</c:v>
                </c:pt>
                <c:pt idx="10">
                  <c:v>4</c:v>
                </c:pt>
                <c:pt idx="11">
                  <c:v>3</c:v>
                </c:pt>
                <c:pt idx="12">
                  <c:v>6</c:v>
                </c:pt>
                <c:pt idx="13">
                  <c:v>2</c:v>
                </c:pt>
                <c:pt idx="14">
                  <c:v>5</c:v>
                </c:pt>
                <c:pt idx="15">
                  <c:v>4</c:v>
                </c:pt>
                <c:pt idx="16">
                  <c:v>3</c:v>
                </c:pt>
                <c:pt idx="17">
                  <c:v>5</c:v>
                </c:pt>
                <c:pt idx="18">
                  <c:v>2</c:v>
                </c:pt>
                <c:pt idx="19">
                  <c:v>6</c:v>
                </c:pt>
              </c:numCache>
            </c:numRef>
          </c:val>
          <c:extLst>
            <c:ext xmlns:c16="http://schemas.microsoft.com/office/drawing/2014/chart" uri="{C3380CC4-5D6E-409C-BE32-E72D297353CC}">
              <c16:uniqueId val="{00000001-8514-47FC-8779-9806AEEB31CE}"/>
            </c:ext>
          </c:extLst>
        </c:ser>
        <c:dLbls>
          <c:showLegendKey val="0"/>
          <c:showVal val="0"/>
          <c:showCatName val="0"/>
          <c:showSerName val="0"/>
          <c:showPercent val="0"/>
          <c:showBubbleSize val="0"/>
        </c:dLbls>
        <c:gapWidth val="100"/>
        <c:overlap val="-24"/>
        <c:axId val="1062453344"/>
        <c:axId val="1062437504"/>
      </c:barChart>
      <c:catAx>
        <c:axId val="106245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62437504"/>
        <c:crosses val="autoZero"/>
        <c:auto val="1"/>
        <c:lblAlgn val="ctr"/>
        <c:lblOffset val="100"/>
        <c:noMultiLvlLbl val="0"/>
      </c:catAx>
      <c:valAx>
        <c:axId val="106243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6245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[productivity_dashboard_ready.xlsx]Pivot4!PivotTable7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t>Productivity</a:t>
            </a:r>
            <a:r>
              <a:rPr lang="en-US" sz="2800" baseline="0"/>
              <a:t> By Day</a:t>
            </a:r>
            <a:endParaRPr lang="en-US" sz="2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Pivot4!$C$4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Pivot4!$B$5:$B$25</c:f>
              <c:strCache>
                <c:ptCount val="20"/>
                <c:pt idx="0">
                  <c:v>2026-01-01</c:v>
                </c:pt>
                <c:pt idx="1">
                  <c:v>2026-01-02</c:v>
                </c:pt>
                <c:pt idx="2">
                  <c:v>2026-01-03</c:v>
                </c:pt>
                <c:pt idx="3">
                  <c:v>2026-01-04</c:v>
                </c:pt>
                <c:pt idx="4">
                  <c:v>2026-01-05</c:v>
                </c:pt>
                <c:pt idx="5">
                  <c:v>2026-01-06</c:v>
                </c:pt>
                <c:pt idx="6">
                  <c:v>2026-01-07</c:v>
                </c:pt>
                <c:pt idx="7">
                  <c:v>2026-01-08</c:v>
                </c:pt>
                <c:pt idx="8">
                  <c:v>2026-01-09</c:v>
                </c:pt>
                <c:pt idx="9">
                  <c:v>2026-01-10</c:v>
                </c:pt>
                <c:pt idx="10">
                  <c:v>2026-01-11</c:v>
                </c:pt>
                <c:pt idx="11">
                  <c:v>2026-01-12</c:v>
                </c:pt>
                <c:pt idx="12">
                  <c:v>2026-01-13</c:v>
                </c:pt>
                <c:pt idx="13">
                  <c:v>2026-01-14</c:v>
                </c:pt>
                <c:pt idx="14">
                  <c:v>2026-01-15</c:v>
                </c:pt>
                <c:pt idx="15">
                  <c:v>2026-01-16</c:v>
                </c:pt>
                <c:pt idx="16">
                  <c:v>2026-01-17</c:v>
                </c:pt>
                <c:pt idx="17">
                  <c:v>2026-01-18</c:v>
                </c:pt>
                <c:pt idx="18">
                  <c:v>2026-01-19</c:v>
                </c:pt>
                <c:pt idx="19">
                  <c:v>2026-01-20</c:v>
                </c:pt>
              </c:strCache>
            </c:strRef>
          </c:cat>
          <c:val>
            <c:numRef>
              <c:f>Pivot4!$C$5:$C$25</c:f>
              <c:numCache>
                <c:formatCode>General</c:formatCode>
                <c:ptCount val="20"/>
                <c:pt idx="0">
                  <c:v>24</c:v>
                </c:pt>
                <c:pt idx="1">
                  <c:v>10</c:v>
                </c:pt>
                <c:pt idx="2">
                  <c:v>32</c:v>
                </c:pt>
                <c:pt idx="3">
                  <c:v>5</c:v>
                </c:pt>
                <c:pt idx="4">
                  <c:v>38</c:v>
                </c:pt>
                <c:pt idx="5">
                  <c:v>1</c:v>
                </c:pt>
                <c:pt idx="6">
                  <c:v>24</c:v>
                </c:pt>
                <c:pt idx="7">
                  <c:v>11</c:v>
                </c:pt>
                <c:pt idx="8">
                  <c:v>32</c:v>
                </c:pt>
                <c:pt idx="9">
                  <c:v>4</c:v>
                </c:pt>
                <c:pt idx="10">
                  <c:v>24</c:v>
                </c:pt>
                <c:pt idx="11">
                  <c:v>11</c:v>
                </c:pt>
                <c:pt idx="12">
                  <c:v>38</c:v>
                </c:pt>
                <c:pt idx="13">
                  <c:v>1</c:v>
                </c:pt>
                <c:pt idx="14">
                  <c:v>32</c:v>
                </c:pt>
                <c:pt idx="15">
                  <c:v>24</c:v>
                </c:pt>
                <c:pt idx="16">
                  <c:v>10</c:v>
                </c:pt>
                <c:pt idx="17">
                  <c:v>32</c:v>
                </c:pt>
                <c:pt idx="18">
                  <c:v>5</c:v>
                </c:pt>
                <c:pt idx="19">
                  <c:v>38</c:v>
                </c:pt>
              </c:numCache>
            </c:numRef>
          </c:val>
          <c:extLst>
            <c:ext xmlns:c16="http://schemas.microsoft.com/office/drawing/2014/chart" uri="{C3380CC4-5D6E-409C-BE32-E72D297353CC}">
              <c16:uniqueId val="{00000000-9A0B-48F5-BA27-729D143B2888}"/>
            </c:ext>
          </c:extLst>
        </c:ser>
        <c:dLbls>
          <c:showLegendKey val="0"/>
          <c:showVal val="0"/>
          <c:showCatName val="0"/>
          <c:showSerName val="0"/>
          <c:showPercent val="0"/>
          <c:showBubbleSize val="0"/>
        </c:dLbls>
        <c:gapWidth val="115"/>
        <c:overlap val="-20"/>
        <c:axId val="1133357104"/>
        <c:axId val="1126933584"/>
      </c:barChart>
      <c:catAx>
        <c:axId val="11333571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933584"/>
        <c:crosses val="autoZero"/>
        <c:auto val="1"/>
        <c:lblAlgn val="ctr"/>
        <c:lblOffset val="100"/>
        <c:noMultiLvlLbl val="0"/>
      </c:catAx>
      <c:valAx>
        <c:axId val="11269335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335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[productivity_dashboard_ready.xlsx]Pivot2!PivotTable5</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Model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Pivot2!$C$4</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B95-4134-97D6-5DD9E37FCFFB}"/>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B95-4134-97D6-5DD9E37FCFFB}"/>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B95-4134-97D6-5DD9E37FCFFB}"/>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B95-4134-97D6-5DD9E37FCF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Pivot2!$B$5:$B$9</c:f>
              <c:strCache>
                <c:ptCount val="4"/>
                <c:pt idx="0">
                  <c:v>Bad</c:v>
                </c:pt>
                <c:pt idx="1">
                  <c:v>Good</c:v>
                </c:pt>
                <c:pt idx="2">
                  <c:v>Great</c:v>
                </c:pt>
                <c:pt idx="3">
                  <c:v>Low</c:v>
                </c:pt>
              </c:strCache>
            </c:strRef>
          </c:cat>
          <c:val>
            <c:numRef>
              <c:f>Pivot2!$C$5:$C$9</c:f>
              <c:numCache>
                <c:formatCode>General</c:formatCode>
                <c:ptCount val="4"/>
                <c:pt idx="0">
                  <c:v>3</c:v>
                </c:pt>
                <c:pt idx="1">
                  <c:v>4</c:v>
                </c:pt>
                <c:pt idx="2">
                  <c:v>7</c:v>
                </c:pt>
                <c:pt idx="3">
                  <c:v>6</c:v>
                </c:pt>
              </c:numCache>
            </c:numRef>
          </c:val>
          <c:extLst>
            <c:ext xmlns:c16="http://schemas.microsoft.com/office/drawing/2014/chart" uri="{C3380CC4-5D6E-409C-BE32-E72D297353CC}">
              <c16:uniqueId val="{00000008-4B95-4134-97D6-5DD9E37FCFF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[productivity_dashboard_ready.xlsx]Pivot1!PivotTable1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Focus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Pivot1!$B$3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Pivot1!$A$4:$A$24</c:f>
              <c:strCache>
                <c:ptCount val="20"/>
                <c:pt idx="0">
                  <c:v>2026-01-01</c:v>
                </c:pt>
                <c:pt idx="1">
                  <c:v>2026-01-02</c:v>
                </c:pt>
                <c:pt idx="2">
                  <c:v>2026-01-03</c:v>
                </c:pt>
                <c:pt idx="3">
                  <c:v>2026-01-04</c:v>
                </c:pt>
                <c:pt idx="4">
                  <c:v>2026-01-05</c:v>
                </c:pt>
                <c:pt idx="5">
                  <c:v>2026-01-06</c:v>
                </c:pt>
                <c:pt idx="6">
                  <c:v>2026-01-07</c:v>
                </c:pt>
                <c:pt idx="7">
                  <c:v>2026-01-08</c:v>
                </c:pt>
                <c:pt idx="8">
                  <c:v>2026-01-09</c:v>
                </c:pt>
                <c:pt idx="9">
                  <c:v>2026-01-10</c:v>
                </c:pt>
                <c:pt idx="10">
                  <c:v>2026-01-11</c:v>
                </c:pt>
                <c:pt idx="11">
                  <c:v>2026-01-12</c:v>
                </c:pt>
                <c:pt idx="12">
                  <c:v>2026-01-13</c:v>
                </c:pt>
                <c:pt idx="13">
                  <c:v>2026-01-14</c:v>
                </c:pt>
                <c:pt idx="14">
                  <c:v>2026-01-15</c:v>
                </c:pt>
                <c:pt idx="15">
                  <c:v>2026-01-16</c:v>
                </c:pt>
                <c:pt idx="16">
                  <c:v>2026-01-17</c:v>
                </c:pt>
                <c:pt idx="17">
                  <c:v>2026-01-18</c:v>
                </c:pt>
                <c:pt idx="18">
                  <c:v>2026-01-19</c:v>
                </c:pt>
                <c:pt idx="19">
                  <c:v>2026-01-20</c:v>
                </c:pt>
              </c:strCache>
            </c:strRef>
          </c:cat>
          <c:val>
            <c:numRef>
              <c:f>Pivot1!$B$4:$B$24</c:f>
              <c:numCache>
                <c:formatCode>General</c:formatCode>
                <c:ptCount val="20"/>
                <c:pt idx="0">
                  <c:v>78</c:v>
                </c:pt>
                <c:pt idx="1">
                  <c:v>60</c:v>
                </c:pt>
                <c:pt idx="2">
                  <c:v>85</c:v>
                </c:pt>
                <c:pt idx="3">
                  <c:v>55</c:v>
                </c:pt>
                <c:pt idx="4">
                  <c:v>90</c:v>
                </c:pt>
                <c:pt idx="5">
                  <c:v>50</c:v>
                </c:pt>
                <c:pt idx="6">
                  <c:v>75</c:v>
                </c:pt>
                <c:pt idx="7">
                  <c:v>62</c:v>
                </c:pt>
                <c:pt idx="8">
                  <c:v>88</c:v>
                </c:pt>
                <c:pt idx="9">
                  <c:v>52</c:v>
                </c:pt>
                <c:pt idx="10">
                  <c:v>77</c:v>
                </c:pt>
                <c:pt idx="11">
                  <c:v>63</c:v>
                </c:pt>
                <c:pt idx="12">
                  <c:v>91</c:v>
                </c:pt>
                <c:pt idx="13">
                  <c:v>49</c:v>
                </c:pt>
                <c:pt idx="14">
                  <c:v>89</c:v>
                </c:pt>
                <c:pt idx="15">
                  <c:v>76</c:v>
                </c:pt>
                <c:pt idx="16">
                  <c:v>61</c:v>
                </c:pt>
                <c:pt idx="17">
                  <c:v>87</c:v>
                </c:pt>
                <c:pt idx="18">
                  <c:v>54</c:v>
                </c:pt>
                <c:pt idx="19">
                  <c:v>92</c:v>
                </c:pt>
              </c:numCache>
            </c:numRef>
          </c:val>
          <c:smooth val="0"/>
          <c:extLst>
            <c:ext xmlns:c16="http://schemas.microsoft.com/office/drawing/2014/chart" uri="{C3380CC4-5D6E-409C-BE32-E72D297353CC}">
              <c16:uniqueId val="{00000000-4C97-4441-824B-08E8C6E12386}"/>
            </c:ext>
          </c:extLst>
        </c:ser>
        <c:dLbls>
          <c:dLblPos val="ctr"/>
          <c:showLegendKey val="0"/>
          <c:showVal val="1"/>
          <c:showCatName val="0"/>
          <c:showSerName val="0"/>
          <c:showPercent val="0"/>
          <c:showBubbleSize val="0"/>
        </c:dLbls>
        <c:marker val="1"/>
        <c:smooth val="0"/>
        <c:axId val="1062470624"/>
        <c:axId val="1062476384"/>
      </c:lineChart>
      <c:catAx>
        <c:axId val="10624706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2476384"/>
        <c:crosses val="autoZero"/>
        <c:auto val="1"/>
        <c:lblAlgn val="ctr"/>
        <c:lblOffset val="100"/>
        <c:noMultiLvlLbl val="0"/>
      </c:catAx>
      <c:valAx>
        <c:axId val="1062476384"/>
        <c:scaling>
          <c:orientation val="minMax"/>
        </c:scaling>
        <c:delete val="1"/>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crossAx val="10624706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[productivity_dashboard_ready.xlsx]Pivot3!PivotTable6</c:name>
    <c:fmtId val="2"/>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Pivot3!$C$4</c:f>
              <c:strCache>
                <c:ptCount val="1"/>
                <c:pt idx="0">
                  <c:v>Sum of ScreenTime_Hours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Pivot3!$B$5:$B$25</c:f>
              <c:strCache>
                <c:ptCount val="20"/>
                <c:pt idx="0">
                  <c:v>2026-01-01</c:v>
                </c:pt>
                <c:pt idx="1">
                  <c:v>2026-01-02</c:v>
                </c:pt>
                <c:pt idx="2">
                  <c:v>2026-01-03</c:v>
                </c:pt>
                <c:pt idx="3">
                  <c:v>2026-01-04</c:v>
                </c:pt>
                <c:pt idx="4">
                  <c:v>2026-01-05</c:v>
                </c:pt>
                <c:pt idx="5">
                  <c:v>2026-01-06</c:v>
                </c:pt>
                <c:pt idx="6">
                  <c:v>2026-01-07</c:v>
                </c:pt>
                <c:pt idx="7">
                  <c:v>2026-01-08</c:v>
                </c:pt>
                <c:pt idx="8">
                  <c:v>2026-01-09</c:v>
                </c:pt>
                <c:pt idx="9">
                  <c:v>2026-01-10</c:v>
                </c:pt>
                <c:pt idx="10">
                  <c:v>2026-01-11</c:v>
                </c:pt>
                <c:pt idx="11">
                  <c:v>2026-01-12</c:v>
                </c:pt>
                <c:pt idx="12">
                  <c:v>2026-01-13</c:v>
                </c:pt>
                <c:pt idx="13">
                  <c:v>2026-01-14</c:v>
                </c:pt>
                <c:pt idx="14">
                  <c:v>2026-01-15</c:v>
                </c:pt>
                <c:pt idx="15">
                  <c:v>2026-01-16</c:v>
                </c:pt>
                <c:pt idx="16">
                  <c:v>2026-01-17</c:v>
                </c:pt>
                <c:pt idx="17">
                  <c:v>2026-01-18</c:v>
                </c:pt>
                <c:pt idx="18">
                  <c:v>2026-01-19</c:v>
                </c:pt>
                <c:pt idx="19">
                  <c:v>2026-01-20</c:v>
                </c:pt>
              </c:strCache>
            </c:strRef>
          </c:cat>
          <c:val>
            <c:numRef>
              <c:f>Pivot3!$C$5:$C$25</c:f>
              <c:numCache>
                <c:formatCode>General</c:formatCode>
                <c:ptCount val="20"/>
                <c:pt idx="0">
                  <c:v>6</c:v>
                </c:pt>
                <c:pt idx="1">
                  <c:v>8</c:v>
                </c:pt>
                <c:pt idx="2">
                  <c:v>5</c:v>
                </c:pt>
                <c:pt idx="3">
                  <c:v>7</c:v>
                </c:pt>
                <c:pt idx="4">
                  <c:v>4</c:v>
                </c:pt>
                <c:pt idx="5">
                  <c:v>9</c:v>
                </c:pt>
                <c:pt idx="6">
                  <c:v>6</c:v>
                </c:pt>
                <c:pt idx="7">
                  <c:v>7</c:v>
                </c:pt>
                <c:pt idx="8">
                  <c:v>5</c:v>
                </c:pt>
                <c:pt idx="9">
                  <c:v>8</c:v>
                </c:pt>
                <c:pt idx="10">
                  <c:v>6</c:v>
                </c:pt>
                <c:pt idx="11">
                  <c:v>7</c:v>
                </c:pt>
                <c:pt idx="12">
                  <c:v>4</c:v>
                </c:pt>
                <c:pt idx="13">
                  <c:v>9</c:v>
                </c:pt>
                <c:pt idx="14">
                  <c:v>5</c:v>
                </c:pt>
                <c:pt idx="15">
                  <c:v>6</c:v>
                </c:pt>
                <c:pt idx="16">
                  <c:v>8</c:v>
                </c:pt>
                <c:pt idx="17">
                  <c:v>5</c:v>
                </c:pt>
                <c:pt idx="18">
                  <c:v>7</c:v>
                </c:pt>
                <c:pt idx="19">
                  <c:v>4</c:v>
                </c:pt>
              </c:numCache>
            </c:numRef>
          </c:val>
          <c:extLst>
            <c:ext xmlns:c16="http://schemas.microsoft.com/office/drawing/2014/chart" uri="{C3380CC4-5D6E-409C-BE32-E72D297353CC}">
              <c16:uniqueId val="{00000000-A041-486E-AFA9-02A17AFB2CB5}"/>
            </c:ext>
          </c:extLst>
        </c:ser>
        <c:ser>
          <c:idx val="1"/>
          <c:order val="1"/>
          <c:tx>
            <c:strRef>
              <c:f>Pivot3!$D$4</c:f>
              <c:strCache>
                <c:ptCount val="1"/>
                <c:pt idx="0">
                  <c:v>Sum of Study_Hours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Pivot3!$B$5:$B$25</c:f>
              <c:strCache>
                <c:ptCount val="20"/>
                <c:pt idx="0">
                  <c:v>2026-01-01</c:v>
                </c:pt>
                <c:pt idx="1">
                  <c:v>2026-01-02</c:v>
                </c:pt>
                <c:pt idx="2">
                  <c:v>2026-01-03</c:v>
                </c:pt>
                <c:pt idx="3">
                  <c:v>2026-01-04</c:v>
                </c:pt>
                <c:pt idx="4">
                  <c:v>2026-01-05</c:v>
                </c:pt>
                <c:pt idx="5">
                  <c:v>2026-01-06</c:v>
                </c:pt>
                <c:pt idx="6">
                  <c:v>2026-01-07</c:v>
                </c:pt>
                <c:pt idx="7">
                  <c:v>2026-01-08</c:v>
                </c:pt>
                <c:pt idx="8">
                  <c:v>2026-01-09</c:v>
                </c:pt>
                <c:pt idx="9">
                  <c:v>2026-01-10</c:v>
                </c:pt>
                <c:pt idx="10">
                  <c:v>2026-01-11</c:v>
                </c:pt>
                <c:pt idx="11">
                  <c:v>2026-01-12</c:v>
                </c:pt>
                <c:pt idx="12">
                  <c:v>2026-01-13</c:v>
                </c:pt>
                <c:pt idx="13">
                  <c:v>2026-01-14</c:v>
                </c:pt>
                <c:pt idx="14">
                  <c:v>2026-01-15</c:v>
                </c:pt>
                <c:pt idx="15">
                  <c:v>2026-01-16</c:v>
                </c:pt>
                <c:pt idx="16">
                  <c:v>2026-01-17</c:v>
                </c:pt>
                <c:pt idx="17">
                  <c:v>2026-01-18</c:v>
                </c:pt>
                <c:pt idx="18">
                  <c:v>2026-01-19</c:v>
                </c:pt>
                <c:pt idx="19">
                  <c:v>2026-01-20</c:v>
                </c:pt>
              </c:strCache>
            </c:strRef>
          </c:cat>
          <c:val>
            <c:numRef>
              <c:f>Pivot3!$D$5:$D$25</c:f>
              <c:numCache>
                <c:formatCode>General</c:formatCode>
                <c:ptCount val="20"/>
                <c:pt idx="0">
                  <c:v>4</c:v>
                </c:pt>
                <c:pt idx="1">
                  <c:v>3</c:v>
                </c:pt>
                <c:pt idx="2">
                  <c:v>5</c:v>
                </c:pt>
                <c:pt idx="3">
                  <c:v>2</c:v>
                </c:pt>
                <c:pt idx="4">
                  <c:v>6</c:v>
                </c:pt>
                <c:pt idx="5">
                  <c:v>2</c:v>
                </c:pt>
                <c:pt idx="6">
                  <c:v>4</c:v>
                </c:pt>
                <c:pt idx="7">
                  <c:v>3</c:v>
                </c:pt>
                <c:pt idx="8">
                  <c:v>5</c:v>
                </c:pt>
                <c:pt idx="9">
                  <c:v>2</c:v>
                </c:pt>
                <c:pt idx="10">
                  <c:v>4</c:v>
                </c:pt>
                <c:pt idx="11">
                  <c:v>3</c:v>
                </c:pt>
                <c:pt idx="12">
                  <c:v>6</c:v>
                </c:pt>
                <c:pt idx="13">
                  <c:v>2</c:v>
                </c:pt>
                <c:pt idx="14">
                  <c:v>5</c:v>
                </c:pt>
                <c:pt idx="15">
                  <c:v>4</c:v>
                </c:pt>
                <c:pt idx="16">
                  <c:v>3</c:v>
                </c:pt>
                <c:pt idx="17">
                  <c:v>5</c:v>
                </c:pt>
                <c:pt idx="18">
                  <c:v>2</c:v>
                </c:pt>
                <c:pt idx="19">
                  <c:v>6</c:v>
                </c:pt>
              </c:numCache>
            </c:numRef>
          </c:val>
          <c:extLst>
            <c:ext xmlns:c16="http://schemas.microsoft.com/office/drawing/2014/chart" uri="{C3380CC4-5D6E-409C-BE32-E72D297353CC}">
              <c16:uniqueId val="{00000001-A041-486E-AFA9-02A17AFB2CB5}"/>
            </c:ext>
          </c:extLst>
        </c:ser>
        <c:dLbls>
          <c:showLegendKey val="0"/>
          <c:showVal val="0"/>
          <c:showCatName val="0"/>
          <c:showSerName val="0"/>
          <c:showPercent val="0"/>
          <c:showBubbleSize val="0"/>
        </c:dLbls>
        <c:gapWidth val="100"/>
        <c:overlap val="-24"/>
        <c:axId val="1062453344"/>
        <c:axId val="1062437504"/>
      </c:barChart>
      <c:catAx>
        <c:axId val="1062453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437504"/>
        <c:crosses val="autoZero"/>
        <c:auto val="1"/>
        <c:lblAlgn val="ctr"/>
        <c:lblOffset val="100"/>
        <c:noMultiLvlLbl val="0"/>
      </c:catAx>
      <c:valAx>
        <c:axId val="1062437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45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w="12700">
      <a:solidFill>
        <a:srgbClr val="FF00FF"/>
      </a:solidFill>
    </a:ln>
    <a:effectLst>
      <a:glow rad="63500">
        <a:schemeClr val="accent1">
          <a:satMod val="175000"/>
          <a:alpha val="40000"/>
        </a:schemeClr>
      </a:glow>
      <a:outerShdw blurRad="50800" dist="38100" dir="2700000" algn="tl" rotWithShape="0">
        <a:prstClr val="black">
          <a:alpha val="40000"/>
        </a:prstClr>
      </a:outerShdw>
      <a:softEdge rad="12700"/>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5.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6.xml"/><Relationship Id="rId9"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495300</xdr:colOff>
      <xdr:row>1</xdr:row>
      <xdr:rowOff>30480</xdr:rowOff>
    </xdr:from>
    <xdr:to>
      <xdr:col>14</xdr:col>
      <xdr:colOff>601980</xdr:colOff>
      <xdr:row>20</xdr:row>
      <xdr:rowOff>175260</xdr:rowOff>
    </xdr:to>
    <xdr:graphicFrame macro="">
      <xdr:nvGraphicFramePr>
        <xdr:cNvPr id="3" name="Chart 2">
          <a:extLst>
            <a:ext uri="{FF2B5EF4-FFF2-40B4-BE49-F238E27FC236}">
              <a16:creationId xmlns:a16="http://schemas.microsoft.com/office/drawing/2014/main" id="{A65DA7CD-D269-76BA-09F6-25152D703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2</xdr:row>
      <xdr:rowOff>167640</xdr:rowOff>
    </xdr:from>
    <xdr:to>
      <xdr:col>15</xdr:col>
      <xdr:colOff>7620</xdr:colOff>
      <xdr:row>24</xdr:row>
      <xdr:rowOff>137160</xdr:rowOff>
    </xdr:to>
    <xdr:graphicFrame macro="">
      <xdr:nvGraphicFramePr>
        <xdr:cNvPr id="2" name="Chart 1">
          <a:extLst>
            <a:ext uri="{FF2B5EF4-FFF2-40B4-BE49-F238E27FC236}">
              <a16:creationId xmlns:a16="http://schemas.microsoft.com/office/drawing/2014/main" id="{38002F17-9FF2-3139-D03C-D774477B8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88196</xdr:colOff>
      <xdr:row>13</xdr:row>
      <xdr:rowOff>92645</xdr:rowOff>
    </xdr:from>
    <xdr:to>
      <xdr:col>19</xdr:col>
      <xdr:colOff>352626</xdr:colOff>
      <xdr:row>24</xdr:row>
      <xdr:rowOff>124700</xdr:rowOff>
    </xdr:to>
    <xdr:sp macro="" textlink="Q2">
      <xdr:nvSpPr>
        <xdr:cNvPr id="4" name="Rectangle: Rounded Corners 3">
          <a:extLst>
            <a:ext uri="{FF2B5EF4-FFF2-40B4-BE49-F238E27FC236}">
              <a16:creationId xmlns:a16="http://schemas.microsoft.com/office/drawing/2014/main" id="{93668A62-E942-4202-BE01-9D739C1816CE}"/>
            </a:ext>
          </a:extLst>
        </xdr:cNvPr>
        <xdr:cNvSpPr/>
      </xdr:nvSpPr>
      <xdr:spPr>
        <a:xfrm>
          <a:off x="8622596" y="3246153"/>
          <a:ext cx="3312430" cy="2095316"/>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200" b="1" i="0" u="none" strike="noStrike">
            <a:solidFill>
              <a:schemeClr val="bg1"/>
            </a:solidFill>
            <a:latin typeface="Calibri"/>
            <a:ea typeface="Calibri"/>
            <a:cs typeface="Calibri"/>
          </a:endParaRPr>
        </a:p>
        <a:p>
          <a:pPr algn="ctr"/>
          <a:fld id="{C0005850-FA09-4F35-B399-961863DF2CA2}" type="TxLink">
            <a:rPr lang="en-US" sz="3200" b="1" i="0" u="none" strike="noStrike">
              <a:solidFill>
                <a:schemeClr val="bg1"/>
              </a:solidFill>
              <a:latin typeface="Calibri"/>
              <a:ea typeface="Calibri"/>
              <a:cs typeface="Calibri"/>
            </a:rPr>
            <a:pPr algn="ctr"/>
            <a:t>Productivity: 20</a:t>
          </a:fld>
          <a:endParaRPr lang="en-IN" sz="3200" b="1">
            <a:solidFill>
              <a:schemeClr val="bg1"/>
            </a:solidFill>
          </a:endParaRPr>
        </a:p>
      </xdr:txBody>
    </xdr:sp>
    <xdr:clientData/>
  </xdr:twoCellAnchor>
  <xdr:twoCellAnchor>
    <xdr:from>
      <xdr:col>13</xdr:col>
      <xdr:colOff>590135</xdr:colOff>
      <xdr:row>2</xdr:row>
      <xdr:rowOff>84667</xdr:rowOff>
    </xdr:from>
    <xdr:to>
      <xdr:col>20</xdr:col>
      <xdr:colOff>105834</xdr:colOff>
      <xdr:row>10</xdr:row>
      <xdr:rowOff>137583</xdr:rowOff>
    </xdr:to>
    <xdr:sp macro="" textlink="">
      <xdr:nvSpPr>
        <xdr:cNvPr id="5" name="Rectangle: Rounded Corners 4">
          <a:extLst>
            <a:ext uri="{FF2B5EF4-FFF2-40B4-BE49-F238E27FC236}">
              <a16:creationId xmlns:a16="http://schemas.microsoft.com/office/drawing/2014/main" id="{B31F9BEA-0F75-434E-99B5-05927EE53D49}"/>
            </a:ext>
          </a:extLst>
        </xdr:cNvPr>
        <xdr:cNvSpPr/>
      </xdr:nvSpPr>
      <xdr:spPr>
        <a:xfrm>
          <a:off x="8569968" y="529167"/>
          <a:ext cx="3812533" cy="2137833"/>
        </a:xfrm>
        <a:prstGeom prst="roundRect">
          <a:avLst>
            <a:gd name="adj" fmla="val 23709"/>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600" b="1">
            <a:solidFill>
              <a:schemeClr val="bg1"/>
            </a:solidFill>
          </a:endParaRPr>
        </a:p>
        <a:p>
          <a:pPr algn="ctr"/>
          <a:r>
            <a:rPr lang="en-US" sz="3600" b="1">
              <a:solidFill>
                <a:schemeClr val="bg1"/>
              </a:solidFill>
            </a:rPr>
            <a:t>      Total Tasks: 87</a:t>
          </a:r>
        </a:p>
      </xdr:txBody>
    </xdr:sp>
    <xdr:clientData/>
  </xdr:twoCellAnchor>
  <xdr:twoCellAnchor>
    <xdr:from>
      <xdr:col>0</xdr:col>
      <xdr:colOff>70162</xdr:colOff>
      <xdr:row>16</xdr:row>
      <xdr:rowOff>140128</xdr:rowOff>
    </xdr:from>
    <xdr:to>
      <xdr:col>5</xdr:col>
      <xdr:colOff>571501</xdr:colOff>
      <xdr:row>27</xdr:row>
      <xdr:rowOff>116416</xdr:rowOff>
    </xdr:to>
    <xdr:sp macro="" textlink="I2">
      <xdr:nvSpPr>
        <xdr:cNvPr id="6" name="Rectangle: Rounded Corners 5">
          <a:extLst>
            <a:ext uri="{FF2B5EF4-FFF2-40B4-BE49-F238E27FC236}">
              <a16:creationId xmlns:a16="http://schemas.microsoft.com/office/drawing/2014/main" id="{30005DBC-EFA2-4D8C-B5A4-BDC1C9BA6CCF}"/>
            </a:ext>
          </a:extLst>
        </xdr:cNvPr>
        <xdr:cNvSpPr/>
      </xdr:nvSpPr>
      <xdr:spPr>
        <a:xfrm>
          <a:off x="70162" y="3749045"/>
          <a:ext cx="3570506" cy="195537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b="1" i="0" u="none" strike="noStrike">
            <a:solidFill>
              <a:schemeClr val="bg1"/>
            </a:solidFill>
            <a:latin typeface="Calibri"/>
            <a:ea typeface="Calibri"/>
            <a:cs typeface="Calibri"/>
          </a:endParaRPr>
        </a:p>
        <a:p>
          <a:pPr algn="l"/>
          <a:r>
            <a:rPr lang="en-US" sz="3200" b="1" i="0" u="none" strike="noStrike">
              <a:solidFill>
                <a:schemeClr val="bg1"/>
              </a:solidFill>
              <a:latin typeface="Calibri"/>
              <a:ea typeface="Calibri"/>
              <a:cs typeface="Calibri"/>
            </a:rPr>
            <a:t>  </a:t>
          </a:r>
          <a:fld id="{329E4DA0-1537-4229-9CA3-0741AE71C64D}" type="TxLink">
            <a:rPr lang="en-US" sz="3200" b="1" i="0" u="none" strike="noStrike">
              <a:solidFill>
                <a:schemeClr val="bg1"/>
              </a:solidFill>
              <a:latin typeface="Calibri"/>
              <a:ea typeface="Calibri"/>
              <a:cs typeface="Calibri"/>
            </a:rPr>
            <a:pPr algn="l"/>
            <a:t>Screen Time: 6.3</a:t>
          </a:fld>
          <a:endParaRPr lang="en-IN" sz="3200" b="1">
            <a:solidFill>
              <a:schemeClr val="bg1"/>
            </a:solidFill>
          </a:endParaRPr>
        </a:p>
      </xdr:txBody>
    </xdr:sp>
    <xdr:clientData/>
  </xdr:twoCellAnchor>
  <xdr:twoCellAnchor>
    <xdr:from>
      <xdr:col>0</xdr:col>
      <xdr:colOff>44812</xdr:colOff>
      <xdr:row>3</xdr:row>
      <xdr:rowOff>106680</xdr:rowOff>
    </xdr:from>
    <xdr:to>
      <xdr:col>5</xdr:col>
      <xdr:colOff>565150</xdr:colOff>
      <xdr:row>12</xdr:row>
      <xdr:rowOff>0</xdr:rowOff>
    </xdr:to>
    <xdr:sp macro="" textlink="C2">
      <xdr:nvSpPr>
        <xdr:cNvPr id="7" name="Rectangle: Rounded Corners 6">
          <a:extLst>
            <a:ext uri="{FF2B5EF4-FFF2-40B4-BE49-F238E27FC236}">
              <a16:creationId xmlns:a16="http://schemas.microsoft.com/office/drawing/2014/main" id="{2F882EC4-671C-9B3D-E1BC-3CCFA8C04767}"/>
            </a:ext>
          </a:extLst>
        </xdr:cNvPr>
        <xdr:cNvSpPr/>
      </xdr:nvSpPr>
      <xdr:spPr>
        <a:xfrm>
          <a:off x="44812" y="731097"/>
          <a:ext cx="3589505" cy="2158153"/>
        </a:xfrm>
        <a:prstGeom prst="round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3600" b="1" i="0" u="none" strike="noStrike">
            <a:solidFill>
              <a:schemeClr val="bg1"/>
            </a:solidFill>
            <a:latin typeface="Calibri"/>
            <a:ea typeface="Calibri"/>
            <a:cs typeface="Calibri"/>
          </a:endParaRPr>
        </a:p>
        <a:p>
          <a:pPr algn="ctr"/>
          <a:fld id="{5407EC69-40DF-4DAD-B36D-545D72AEA0FD}" type="TxLink">
            <a:rPr lang="en-US" sz="3600" b="1" i="0" u="none" strike="noStrike">
              <a:solidFill>
                <a:schemeClr val="bg1"/>
              </a:solidFill>
              <a:latin typeface="Calibri"/>
              <a:ea typeface="Calibri"/>
              <a:cs typeface="Calibri"/>
            </a:rPr>
            <a:pPr algn="ctr"/>
            <a:t>Avg Focus: 72</a:t>
          </a:fld>
          <a:endParaRPr lang="en-IN" sz="3600" b="1">
            <a:solidFill>
              <a:schemeClr val="bg1"/>
            </a:solidFill>
          </a:endParaRPr>
        </a:p>
      </xdr:txBody>
    </xdr:sp>
    <xdr:clientData/>
  </xdr:twoCellAnchor>
  <xdr:twoCellAnchor editAs="oneCell">
    <xdr:from>
      <xdr:col>26</xdr:col>
      <xdr:colOff>520444</xdr:colOff>
      <xdr:row>7</xdr:row>
      <xdr:rowOff>20957</xdr:rowOff>
    </xdr:from>
    <xdr:to>
      <xdr:col>30</xdr:col>
      <xdr:colOff>276143</xdr:colOff>
      <xdr:row>29</xdr:row>
      <xdr:rowOff>176171</xdr:rowOff>
    </xdr:to>
    <mc:AlternateContent xmlns:mc="http://schemas.openxmlformats.org/markup-compatibility/2006">
      <mc:Choice xmlns:a14="http://schemas.microsoft.com/office/drawing/2010/main" Requires="a14">
        <xdr:graphicFrame macro="">
          <xdr:nvGraphicFramePr>
            <xdr:cNvPr id="9" name="Date 1">
              <a:extLst>
                <a:ext uri="{FF2B5EF4-FFF2-40B4-BE49-F238E27FC236}">
                  <a16:creationId xmlns:a16="http://schemas.microsoft.com/office/drawing/2014/main" id="{DAE9CB89-51F6-4638-AEEF-B625CCFAE555}"/>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6370044" y="2049049"/>
              <a:ext cx="2194099" cy="4281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540845</xdr:colOff>
      <xdr:row>1</xdr:row>
      <xdr:rowOff>103570</xdr:rowOff>
    </xdr:from>
    <xdr:to>
      <xdr:col>30</xdr:col>
      <xdr:colOff>12490</xdr:colOff>
      <xdr:row>5</xdr:row>
      <xdr:rowOff>161139</xdr:rowOff>
    </xdr:to>
    <mc:AlternateContent xmlns:mc="http://schemas.openxmlformats.org/markup-compatibility/2006">
      <mc:Choice xmlns:a14="http://schemas.microsoft.com/office/drawing/2010/main" Requires="a14">
        <xdr:graphicFrame macro="">
          <xdr:nvGraphicFramePr>
            <xdr:cNvPr id="11" name="Mood 1">
              <a:extLst>
                <a:ext uri="{FF2B5EF4-FFF2-40B4-BE49-F238E27FC236}">
                  <a16:creationId xmlns:a16="http://schemas.microsoft.com/office/drawing/2014/main" id="{4D9D6313-0CA5-4B8C-968B-686DFD3EE36F}"/>
                </a:ext>
              </a:extLst>
            </xdr:cNvPr>
            <xdr:cNvGraphicFramePr/>
          </xdr:nvGraphicFramePr>
          <xdr:xfrm>
            <a:off x="0" y="0"/>
            <a:ext cx="0" cy="0"/>
          </xdr:xfrm>
          <a:graphic>
            <a:graphicData uri="http://schemas.microsoft.com/office/drawing/2010/slicer">
              <sle:slicer xmlns:sle="http://schemas.microsoft.com/office/drawing/2010/slicer" name="Mood 1"/>
            </a:graphicData>
          </a:graphic>
        </xdr:graphicFrame>
      </mc:Choice>
      <mc:Fallback>
        <xdr:sp macro="" textlink="">
          <xdr:nvSpPr>
            <xdr:cNvPr id="0" name=""/>
            <xdr:cNvSpPr>
              <a:spLocks noTextEdit="1"/>
            </xdr:cNvSpPr>
          </xdr:nvSpPr>
          <xdr:spPr>
            <a:xfrm>
              <a:off x="16390445" y="291139"/>
              <a:ext cx="1910045" cy="1522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225689</xdr:colOff>
      <xdr:row>2</xdr:row>
      <xdr:rowOff>75587</xdr:rowOff>
    </xdr:from>
    <xdr:to>
      <xdr:col>13</xdr:col>
      <xdr:colOff>500742</xdr:colOff>
      <xdr:row>13</xdr:row>
      <xdr:rowOff>174171</xdr:rowOff>
    </xdr:to>
    <xdr:graphicFrame macro="">
      <xdr:nvGraphicFramePr>
        <xdr:cNvPr id="12" name="Chart 11">
          <a:extLst>
            <a:ext uri="{FF2B5EF4-FFF2-40B4-BE49-F238E27FC236}">
              <a16:creationId xmlns:a16="http://schemas.microsoft.com/office/drawing/2014/main" id="{970FADF1-02F8-4002-BD53-9F672C22B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152402</xdr:colOff>
      <xdr:row>14</xdr:row>
      <xdr:rowOff>54428</xdr:rowOff>
    </xdr:from>
    <xdr:to>
      <xdr:col>14</xdr:col>
      <xdr:colOff>70338</xdr:colOff>
      <xdr:row>34</xdr:row>
      <xdr:rowOff>117230</xdr:rowOff>
    </xdr:to>
    <xdr:graphicFrame macro="">
      <xdr:nvGraphicFramePr>
        <xdr:cNvPr id="13" name="Chart 12">
          <a:extLst>
            <a:ext uri="{FF2B5EF4-FFF2-40B4-BE49-F238E27FC236}">
              <a16:creationId xmlns:a16="http://schemas.microsoft.com/office/drawing/2014/main" id="{2293C187-F715-425F-BC29-8381A6721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140677</xdr:colOff>
      <xdr:row>1</xdr:row>
      <xdr:rowOff>140677</xdr:rowOff>
    </xdr:from>
    <xdr:to>
      <xdr:col>26</xdr:col>
      <xdr:colOff>386862</xdr:colOff>
      <xdr:row>12</xdr:row>
      <xdr:rowOff>93785</xdr:rowOff>
    </xdr:to>
    <xdr:graphicFrame macro="">
      <xdr:nvGraphicFramePr>
        <xdr:cNvPr id="14" name="Chart 13">
          <a:extLst>
            <a:ext uri="{FF2B5EF4-FFF2-40B4-BE49-F238E27FC236}">
              <a16:creationId xmlns:a16="http://schemas.microsoft.com/office/drawing/2014/main" id="{95CE2408-2704-4A72-94AD-46EE56604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539263</xdr:colOff>
      <xdr:row>13</xdr:row>
      <xdr:rowOff>170844</xdr:rowOff>
    </xdr:from>
    <xdr:to>
      <xdr:col>26</xdr:col>
      <xdr:colOff>281355</xdr:colOff>
      <xdr:row>33</xdr:row>
      <xdr:rowOff>93786</xdr:rowOff>
    </xdr:to>
    <xdr:graphicFrame macro="">
      <xdr:nvGraphicFramePr>
        <xdr:cNvPr id="15" name="Chart 14">
          <a:extLst>
            <a:ext uri="{FF2B5EF4-FFF2-40B4-BE49-F238E27FC236}">
              <a16:creationId xmlns:a16="http://schemas.microsoft.com/office/drawing/2014/main" id="{143C0D66-FF0D-425C-A5CD-BF56B72F9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119743</xdr:colOff>
      <xdr:row>6</xdr:row>
      <xdr:rowOff>163285</xdr:rowOff>
    </xdr:from>
    <xdr:to>
      <xdr:col>5</xdr:col>
      <xdr:colOff>424543</xdr:colOff>
      <xdr:row>11</xdr:row>
      <xdr:rowOff>152400</xdr:rowOff>
    </xdr:to>
    <xdr:pic>
      <xdr:nvPicPr>
        <xdr:cNvPr id="17" name="Graphic 16" descr="Brain in head with solid fill">
          <a:extLst>
            <a:ext uri="{FF2B5EF4-FFF2-40B4-BE49-F238E27FC236}">
              <a16:creationId xmlns:a16="http://schemas.microsoft.com/office/drawing/2014/main" id="{388A9990-68D0-AF2D-7BEB-8F677E2AB9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58143" y="2002971"/>
          <a:ext cx="914400" cy="914400"/>
        </a:xfrm>
        <a:prstGeom prst="rect">
          <a:avLst/>
        </a:prstGeom>
      </xdr:spPr>
    </xdr:pic>
    <xdr:clientData/>
  </xdr:twoCellAnchor>
  <xdr:twoCellAnchor editAs="oneCell">
    <xdr:from>
      <xdr:col>4</xdr:col>
      <xdr:colOff>185057</xdr:colOff>
      <xdr:row>18</xdr:row>
      <xdr:rowOff>97972</xdr:rowOff>
    </xdr:from>
    <xdr:to>
      <xdr:col>5</xdr:col>
      <xdr:colOff>489857</xdr:colOff>
      <xdr:row>23</xdr:row>
      <xdr:rowOff>87086</xdr:rowOff>
    </xdr:to>
    <xdr:pic>
      <xdr:nvPicPr>
        <xdr:cNvPr id="19" name="Graphic 18" descr="Clock with solid fill">
          <a:extLst>
            <a:ext uri="{FF2B5EF4-FFF2-40B4-BE49-F238E27FC236}">
              <a16:creationId xmlns:a16="http://schemas.microsoft.com/office/drawing/2014/main" id="{CE118BFB-FDE9-A86D-312D-E302227F55D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23457" y="4158343"/>
          <a:ext cx="914400" cy="914400"/>
        </a:xfrm>
        <a:prstGeom prst="rect">
          <a:avLst/>
        </a:prstGeom>
      </xdr:spPr>
    </xdr:pic>
    <xdr:clientData/>
  </xdr:twoCellAnchor>
  <xdr:twoCellAnchor editAs="oneCell">
    <xdr:from>
      <xdr:col>13</xdr:col>
      <xdr:colOff>509510</xdr:colOff>
      <xdr:row>3</xdr:row>
      <xdr:rowOff>311151</xdr:rowOff>
    </xdr:from>
    <xdr:to>
      <xdr:col>15</xdr:col>
      <xdr:colOff>352878</xdr:colOff>
      <xdr:row>6</xdr:row>
      <xdr:rowOff>178709</xdr:rowOff>
    </xdr:to>
    <xdr:pic>
      <xdr:nvPicPr>
        <xdr:cNvPr id="21" name="Graphic 20" descr="Checklist with solid fill">
          <a:extLst>
            <a:ext uri="{FF2B5EF4-FFF2-40B4-BE49-F238E27FC236}">
              <a16:creationId xmlns:a16="http://schemas.microsoft.com/office/drawing/2014/main" id="{82FDDAED-57FE-F923-C316-D46531C4A55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489343" y="935568"/>
          <a:ext cx="1071035" cy="1052891"/>
        </a:xfrm>
        <a:prstGeom prst="rect">
          <a:avLst/>
        </a:prstGeom>
      </xdr:spPr>
    </xdr:pic>
    <xdr:clientData/>
  </xdr:twoCellAnchor>
  <xdr:twoCellAnchor editAs="oneCell">
    <xdr:from>
      <xdr:col>18</xdr:col>
      <xdr:colOff>97668</xdr:colOff>
      <xdr:row>19</xdr:row>
      <xdr:rowOff>43241</xdr:rowOff>
    </xdr:from>
    <xdr:to>
      <xdr:col>19</xdr:col>
      <xdr:colOff>328083</xdr:colOff>
      <xdr:row>23</xdr:row>
      <xdr:rowOff>140993</xdr:rowOff>
    </xdr:to>
    <xdr:pic>
      <xdr:nvPicPr>
        <xdr:cNvPr id="23" name="Graphic 22" descr="Lightbulb with solid fill">
          <a:extLst>
            <a:ext uri="{FF2B5EF4-FFF2-40B4-BE49-F238E27FC236}">
              <a16:creationId xmlns:a16="http://schemas.microsoft.com/office/drawing/2014/main" id="{0DAC19D3-4FA1-78F0-9E07-7CE86757E20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146668" y="4191908"/>
          <a:ext cx="844248" cy="817418"/>
        </a:xfrm>
        <a:prstGeom prst="rect">
          <a:avLst/>
        </a:prstGeom>
      </xdr:spPr>
    </xdr:pic>
    <xdr:clientData/>
  </xdr:twoCellAnchor>
  <xdr:twoCellAnchor>
    <xdr:from>
      <xdr:col>10</xdr:col>
      <xdr:colOff>174171</xdr:colOff>
      <xdr:row>0</xdr:row>
      <xdr:rowOff>141516</xdr:rowOff>
    </xdr:from>
    <xdr:to>
      <xdr:col>16</xdr:col>
      <xdr:colOff>65313</xdr:colOff>
      <xdr:row>2</xdr:row>
      <xdr:rowOff>21772</xdr:rowOff>
    </xdr:to>
    <xdr:sp macro="" textlink="">
      <xdr:nvSpPr>
        <xdr:cNvPr id="24" name="TextBox 23">
          <a:extLst>
            <a:ext uri="{FF2B5EF4-FFF2-40B4-BE49-F238E27FC236}">
              <a16:creationId xmlns:a16="http://schemas.microsoft.com/office/drawing/2014/main" id="{620BC538-5D2F-8075-DBCA-6759270E207F}"/>
            </a:ext>
          </a:extLst>
        </xdr:cNvPr>
        <xdr:cNvSpPr txBox="1"/>
      </xdr:nvSpPr>
      <xdr:spPr>
        <a:xfrm>
          <a:off x="6270171" y="141516"/>
          <a:ext cx="3548742" cy="337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PERSONAL PRODUCTIVITY DASHBOARD</a:t>
          </a:r>
        </a:p>
        <a:p>
          <a:endParaRPr lang="en-IN" sz="16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678180</xdr:colOff>
      <xdr:row>1</xdr:row>
      <xdr:rowOff>45720</xdr:rowOff>
    </xdr:from>
    <xdr:to>
      <xdr:col>14</xdr:col>
      <xdr:colOff>464820</xdr:colOff>
      <xdr:row>22</xdr:row>
      <xdr:rowOff>91440</xdr:rowOff>
    </xdr:to>
    <xdr:graphicFrame macro="">
      <xdr:nvGraphicFramePr>
        <xdr:cNvPr id="2" name="Chart 1">
          <a:extLst>
            <a:ext uri="{FF2B5EF4-FFF2-40B4-BE49-F238E27FC236}">
              <a16:creationId xmlns:a16="http://schemas.microsoft.com/office/drawing/2014/main" id="{18D4690A-7EA8-A400-A4F1-CA7824A57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434340</xdr:colOff>
      <xdr:row>2</xdr:row>
      <xdr:rowOff>160020</xdr:rowOff>
    </xdr:from>
    <xdr:to>
      <xdr:col>14</xdr:col>
      <xdr:colOff>137160</xdr:colOff>
      <xdr:row>25</xdr:row>
      <xdr:rowOff>0</xdr:rowOff>
    </xdr:to>
    <xdr:graphicFrame macro="">
      <xdr:nvGraphicFramePr>
        <xdr:cNvPr id="3" name="Chart 2">
          <a:extLst>
            <a:ext uri="{FF2B5EF4-FFF2-40B4-BE49-F238E27FC236}">
              <a16:creationId xmlns:a16="http://schemas.microsoft.com/office/drawing/2014/main" id="{1DD17D59-B012-0D00-C203-83072D947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refreshedDate="46064.551769675927" createdVersion="8" refreshedVersion="8" minRefreshableVersion="3" recordCount="20" xr:uid="{202D227B-AA88-461E-84F7-0EB50A2495C4}">
  <cacheSource type="worksheet">
    <worksheetSource ref="A1:L21" sheet="Data_set"/>
  </cacheSource>
  <cacheFields count="12">
    <cacheField name="Date" numFmtId="0">
      <sharedItems count="20">
        <s v="2026-01-01"/>
        <s v="2026-01-02"/>
        <s v="2026-01-03"/>
        <s v="2026-01-04"/>
        <s v="2026-01-05"/>
        <s v="2026-01-06"/>
        <s v="2026-01-07"/>
        <s v="2026-01-08"/>
        <s v="2026-01-09"/>
        <s v="2026-01-10"/>
        <s v="2026-01-11"/>
        <s v="2026-01-12"/>
        <s v="2026-01-13"/>
        <s v="2026-01-14"/>
        <s v="2026-01-15"/>
        <s v="2026-01-16"/>
        <s v="2026-01-17"/>
        <s v="2026-01-18"/>
        <s v="2026-01-19"/>
        <s v="2026-01-20"/>
      </sharedItems>
    </cacheField>
    <cacheField name="User" numFmtId="0">
      <sharedItems/>
    </cacheField>
    <cacheField name="ScreenTime_Hours" numFmtId="0">
      <sharedItems containsSemiMixedTypes="0" containsString="0" containsNumber="1" containsInteger="1" minValue="4" maxValue="9"/>
    </cacheField>
    <cacheField name="Study_Hours" numFmtId="0">
      <sharedItems containsSemiMixedTypes="0" containsString="0" containsNumber="1" containsInteger="1" minValue="2" maxValue="6"/>
    </cacheField>
    <cacheField name="Sleep_Hours" numFmtId="0">
      <sharedItems containsSemiMixedTypes="0" containsString="0" containsNumber="1" containsInteger="1" minValue="5" maxValue="8"/>
    </cacheField>
    <cacheField name="SocialMedia_Hours" numFmtId="0">
      <sharedItems containsSemiMixedTypes="0" containsString="0" containsNumber="1" containsInteger="1" minValue="1" maxValue="5"/>
    </cacheField>
    <cacheField name="Exercise_Hours" numFmtId="0">
      <sharedItems containsSemiMixedTypes="0" containsString="0" containsNumber="1" containsInteger="1" minValue="0" maxValue="1"/>
    </cacheField>
    <cacheField name="Tasks_Completed" numFmtId="0">
      <sharedItems containsSemiMixedTypes="0" containsString="0" containsNumber="1" containsInteger="1" minValue="2" maxValue="7"/>
    </cacheField>
    <cacheField name="Mood" numFmtId="0">
      <sharedItems count="4">
        <s v="Good"/>
        <s v="Low"/>
        <s v="Great"/>
        <s v="Bad"/>
      </sharedItems>
    </cacheField>
    <cacheField name="Focus_Score" numFmtId="0">
      <sharedItems containsSemiMixedTypes="0" containsString="0" containsNumber="1" containsInteger="1" minValue="49" maxValue="92"/>
    </cacheField>
    <cacheField name="ProductivityScore" numFmtId="0">
      <sharedItems containsSemiMixedTypes="0" containsString="0" containsNumber="1" containsInteger="1" minValue="1" maxValue="38"/>
    </cacheField>
    <cacheField name="HighFocus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639806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A"/>
    <n v="6"/>
    <n v="4"/>
    <n v="7"/>
    <n v="2"/>
    <n v="1"/>
    <n v="5"/>
    <x v="0"/>
    <n v="78"/>
    <n v="24"/>
    <n v="1"/>
  </r>
  <r>
    <x v="1"/>
    <s v="A"/>
    <n v="8"/>
    <n v="3"/>
    <n v="6"/>
    <n v="3"/>
    <n v="0"/>
    <n v="3"/>
    <x v="1"/>
    <n v="60"/>
    <n v="10"/>
    <n v="0"/>
  </r>
  <r>
    <x v="2"/>
    <s v="A"/>
    <n v="5"/>
    <n v="5"/>
    <n v="8"/>
    <n v="1"/>
    <n v="1"/>
    <n v="6"/>
    <x v="2"/>
    <n v="85"/>
    <n v="32"/>
    <n v="1"/>
  </r>
  <r>
    <x v="3"/>
    <s v="A"/>
    <n v="7"/>
    <n v="2"/>
    <n v="6"/>
    <n v="4"/>
    <n v="0"/>
    <n v="2"/>
    <x v="1"/>
    <n v="55"/>
    <n v="5"/>
    <n v="0"/>
  </r>
  <r>
    <x v="4"/>
    <s v="A"/>
    <n v="4"/>
    <n v="6"/>
    <n v="8"/>
    <n v="1"/>
    <n v="1"/>
    <n v="7"/>
    <x v="2"/>
    <n v="90"/>
    <n v="38"/>
    <n v="1"/>
  </r>
  <r>
    <x v="5"/>
    <s v="A"/>
    <n v="9"/>
    <n v="2"/>
    <n v="5"/>
    <n v="5"/>
    <n v="0"/>
    <n v="2"/>
    <x v="3"/>
    <n v="50"/>
    <n v="1"/>
    <n v="0"/>
  </r>
  <r>
    <x v="6"/>
    <s v="A"/>
    <n v="6"/>
    <n v="4"/>
    <n v="7"/>
    <n v="2"/>
    <n v="1"/>
    <n v="5"/>
    <x v="0"/>
    <n v="75"/>
    <n v="24"/>
    <n v="1"/>
  </r>
  <r>
    <x v="7"/>
    <s v="A"/>
    <n v="7"/>
    <n v="3"/>
    <n v="6"/>
    <n v="3"/>
    <n v="0"/>
    <n v="3"/>
    <x v="1"/>
    <n v="62"/>
    <n v="11"/>
    <n v="0"/>
  </r>
  <r>
    <x v="8"/>
    <s v="A"/>
    <n v="5"/>
    <n v="5"/>
    <n v="8"/>
    <n v="1"/>
    <n v="1"/>
    <n v="6"/>
    <x v="2"/>
    <n v="88"/>
    <n v="32"/>
    <n v="1"/>
  </r>
  <r>
    <x v="9"/>
    <s v="A"/>
    <n v="8"/>
    <n v="2"/>
    <n v="6"/>
    <n v="4"/>
    <n v="0"/>
    <n v="2"/>
    <x v="3"/>
    <n v="52"/>
    <n v="4"/>
    <n v="0"/>
  </r>
  <r>
    <x v="10"/>
    <s v="A"/>
    <n v="6"/>
    <n v="4"/>
    <n v="7"/>
    <n v="2"/>
    <n v="1"/>
    <n v="5"/>
    <x v="0"/>
    <n v="77"/>
    <n v="24"/>
    <n v="1"/>
  </r>
  <r>
    <x v="11"/>
    <s v="A"/>
    <n v="7"/>
    <n v="3"/>
    <n v="6"/>
    <n v="3"/>
    <n v="0"/>
    <n v="3"/>
    <x v="1"/>
    <n v="63"/>
    <n v="11"/>
    <n v="0"/>
  </r>
  <r>
    <x v="12"/>
    <s v="A"/>
    <n v="4"/>
    <n v="6"/>
    <n v="8"/>
    <n v="1"/>
    <n v="1"/>
    <n v="7"/>
    <x v="2"/>
    <n v="91"/>
    <n v="38"/>
    <n v="1"/>
  </r>
  <r>
    <x v="13"/>
    <s v="A"/>
    <n v="9"/>
    <n v="2"/>
    <n v="5"/>
    <n v="5"/>
    <n v="0"/>
    <n v="2"/>
    <x v="3"/>
    <n v="49"/>
    <n v="1"/>
    <n v="0"/>
  </r>
  <r>
    <x v="14"/>
    <s v="A"/>
    <n v="5"/>
    <n v="5"/>
    <n v="8"/>
    <n v="1"/>
    <n v="1"/>
    <n v="6"/>
    <x v="2"/>
    <n v="89"/>
    <n v="32"/>
    <n v="1"/>
  </r>
  <r>
    <x v="15"/>
    <s v="A"/>
    <n v="6"/>
    <n v="4"/>
    <n v="7"/>
    <n v="2"/>
    <n v="1"/>
    <n v="5"/>
    <x v="0"/>
    <n v="76"/>
    <n v="24"/>
    <n v="1"/>
  </r>
  <r>
    <x v="16"/>
    <s v="A"/>
    <n v="8"/>
    <n v="3"/>
    <n v="6"/>
    <n v="3"/>
    <n v="0"/>
    <n v="3"/>
    <x v="1"/>
    <n v="61"/>
    <n v="10"/>
    <n v="0"/>
  </r>
  <r>
    <x v="17"/>
    <s v="A"/>
    <n v="5"/>
    <n v="5"/>
    <n v="8"/>
    <n v="1"/>
    <n v="1"/>
    <n v="6"/>
    <x v="2"/>
    <n v="87"/>
    <n v="32"/>
    <n v="1"/>
  </r>
  <r>
    <x v="18"/>
    <s v="A"/>
    <n v="7"/>
    <n v="2"/>
    <n v="6"/>
    <n v="4"/>
    <n v="0"/>
    <n v="2"/>
    <x v="1"/>
    <n v="54"/>
    <n v="5"/>
    <n v="0"/>
  </r>
  <r>
    <x v="19"/>
    <s v="A"/>
    <n v="4"/>
    <n v="6"/>
    <n v="8"/>
    <n v="1"/>
    <n v="1"/>
    <n v="7"/>
    <x v="2"/>
    <n v="92"/>
    <n v="38"/>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467F28-EE21-4BB8-880F-95144048ABC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C9" firstHeaderRow="1" firstDataRow="1" firstDataCol="1"/>
  <pivotFields count="12">
    <pivotField dataField="1"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s>
  <rowFields count="1">
    <field x="8"/>
  </rowFields>
  <rowItems count="5">
    <i>
      <x/>
    </i>
    <i>
      <x v="1"/>
    </i>
    <i>
      <x v="2"/>
    </i>
    <i>
      <x v="3"/>
    </i>
    <i t="grand">
      <x/>
    </i>
  </rowItems>
  <colItems count="1">
    <i/>
  </colItems>
  <dataFields count="1">
    <dataField name="Count of Date" fld="0" subtotal="count" baseField="0" baseItem="0"/>
  </dataFields>
  <chartFormats count="10">
    <chartFormat chart="2"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0"/>
          </reference>
        </references>
      </pivotArea>
    </chartFormat>
    <chartFormat chart="6" format="8">
      <pivotArea type="data" outline="0" fieldPosition="0">
        <references count="2">
          <reference field="4294967294" count="1" selected="0">
            <x v="0"/>
          </reference>
          <reference field="8" count="1" selected="0">
            <x v="1"/>
          </reference>
        </references>
      </pivotArea>
    </chartFormat>
    <chartFormat chart="6" format="9">
      <pivotArea type="data" outline="0" fieldPosition="0">
        <references count="2">
          <reference field="4294967294" count="1" selected="0">
            <x v="0"/>
          </reference>
          <reference field="8" count="1" selected="0">
            <x v="2"/>
          </reference>
        </references>
      </pivotArea>
    </chartFormat>
    <chartFormat chart="6" format="10">
      <pivotArea type="data" outline="0" fieldPosition="0">
        <references count="2">
          <reference field="4294967294" count="1" selected="0">
            <x v="0"/>
          </reference>
          <reference field="8" count="1" selected="0">
            <x v="3"/>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CF60F6-D9A5-4210-9BE0-18D0199ED4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C25" firstHeaderRow="1" firstDataRow="1" firstDataCol="1"/>
  <pivotFields count="12">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showAll="0"/>
    <pivotField showAll="0">
      <items count="5">
        <item x="3"/>
        <item x="0"/>
        <item x="2"/>
        <item x="1"/>
        <item t="default"/>
      </items>
    </pivotField>
    <pivotField showAll="0"/>
    <pivotField dataField="1"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roductivityScore"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4AA4EC-DA1B-447E-8B74-4E66E46068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4" firstHeaderRow="1" firstDataRow="1" firstDataCol="1"/>
  <pivotFields count="12">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showAll="0"/>
    <pivotField showAll="0">
      <items count="5">
        <item x="3"/>
        <item x="0"/>
        <item x="2"/>
        <item x="1"/>
        <item t="default"/>
      </items>
    </pivotField>
    <pivotField dataField="1" showAll="0"/>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Focus_Score" fld="9" subtotal="average"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4E79C6-B543-4262-A52B-2B5523E4D2A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4:D25" firstHeaderRow="0" firstDataRow="1" firstDataCol="1"/>
  <pivotFields count="12">
    <pivotField axis="axisRow" showAll="0">
      <items count="21">
        <item x="0"/>
        <item x="1"/>
        <item x="2"/>
        <item x="3"/>
        <item x="4"/>
        <item x="5"/>
        <item x="6"/>
        <item x="7"/>
        <item x="8"/>
        <item x="9"/>
        <item x="10"/>
        <item x="11"/>
        <item x="12"/>
        <item x="13"/>
        <item x="14"/>
        <item x="15"/>
        <item x="16"/>
        <item x="17"/>
        <item x="18"/>
        <item x="19"/>
        <item t="default"/>
      </items>
    </pivotField>
    <pivotField showAll="0"/>
    <pivotField dataField="1" showAll="0"/>
    <pivotField dataField="1" showAll="0"/>
    <pivotField showAll="0"/>
    <pivotField showAll="0"/>
    <pivotField showAll="0"/>
    <pivotField showAll="0"/>
    <pivotField showAll="0">
      <items count="5">
        <item x="3"/>
        <item x="0"/>
        <item x="2"/>
        <item x="1"/>
        <item t="default"/>
      </items>
    </pivotField>
    <pivotField showAll="0"/>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ScreenTime_Hours" fld="2" baseField="0" baseItem="0"/>
    <dataField name="Sum of Study_Hours" fld="3"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AB44D742-617D-4590-B496-8A45D8FEECBE}" sourceName="Date">
  <pivotTables>
    <pivotTable tabId="2" name="PivotTable1"/>
    <pivotTable tabId="3" name="PivotTable5"/>
    <pivotTable tabId="4" name="PivotTable6"/>
    <pivotTable tabId="5" name="PivotTable7"/>
  </pivotTables>
  <data>
    <tabular pivotCacheId="639806418">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od" xr10:uid="{CB7A805A-FCC7-455A-991A-D11FD928E92C}" sourceName="Mood">
  <pivotTables>
    <pivotTable tabId="2" name="PivotTable1"/>
    <pivotTable tabId="3" name="PivotTable5"/>
    <pivotTable tabId="4" name="PivotTable6"/>
    <pivotTable tabId="5" name="PivotTable7"/>
  </pivotTables>
  <data>
    <tabular pivotCacheId="639806418">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2BCF1839-AA14-407F-9F16-0FDFD9DFFD66}" cache="Slicer_Date" caption="Date" rowHeight="234950"/>
  <slicer name="Mood 1" xr10:uid="{7D8C9B29-DC06-413D-94BD-5AB73CC6B1F2}" cache="Slicer_Mood" caption="Mood"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AC6AA-FFBA-42E3-9BB7-962A5C4B3F07}">
  <dimension ref="B2:C9"/>
  <sheetViews>
    <sheetView workbookViewId="0">
      <selection activeCell="P9" sqref="P9"/>
    </sheetView>
  </sheetViews>
  <sheetFormatPr defaultRowHeight="14.4" x14ac:dyDescent="0.3"/>
  <cols>
    <col min="2" max="2" width="12.5546875" bestFit="1" customWidth="1"/>
    <col min="3" max="3" width="12.6640625" bestFit="1" customWidth="1"/>
  </cols>
  <sheetData>
    <row r="2" spans="2:3" ht="28.8" x14ac:dyDescent="0.55000000000000004">
      <c r="B2" s="4" t="s">
        <v>41</v>
      </c>
    </row>
    <row r="4" spans="2:3" x14ac:dyDescent="0.3">
      <c r="B4" s="2" t="s">
        <v>37</v>
      </c>
      <c r="C4" t="s">
        <v>42</v>
      </c>
    </row>
    <row r="5" spans="2:3" x14ac:dyDescent="0.3">
      <c r="B5" s="3" t="s">
        <v>36</v>
      </c>
      <c r="C5">
        <v>3</v>
      </c>
    </row>
    <row r="6" spans="2:3" x14ac:dyDescent="0.3">
      <c r="B6" s="3" t="s">
        <v>33</v>
      </c>
      <c r="C6">
        <v>4</v>
      </c>
    </row>
    <row r="7" spans="2:3" x14ac:dyDescent="0.3">
      <c r="B7" s="3" t="s">
        <v>35</v>
      </c>
      <c r="C7">
        <v>7</v>
      </c>
    </row>
    <row r="8" spans="2:3" x14ac:dyDescent="0.3">
      <c r="B8" s="3" t="s">
        <v>34</v>
      </c>
      <c r="C8">
        <v>6</v>
      </c>
    </row>
    <row r="9" spans="2:3" x14ac:dyDescent="0.3">
      <c r="B9" s="3" t="s">
        <v>38</v>
      </c>
      <c r="C9">
        <v>20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84092-EFB8-40C9-85FC-4053565FBC35}">
  <dimension ref="B2:C25"/>
  <sheetViews>
    <sheetView topLeftCell="A2" workbookViewId="0">
      <selection activeCell="H3" sqref="H3"/>
    </sheetView>
  </sheetViews>
  <sheetFormatPr defaultRowHeight="14.4" x14ac:dyDescent="0.3"/>
  <cols>
    <col min="2" max="2" width="12.5546875" bestFit="1" customWidth="1"/>
    <col min="3" max="3" width="22.6640625" bestFit="1" customWidth="1"/>
  </cols>
  <sheetData>
    <row r="2" spans="2:3" ht="28.8" x14ac:dyDescent="0.55000000000000004">
      <c r="B2" s="4" t="s">
        <v>46</v>
      </c>
    </row>
    <row r="4" spans="2:3" x14ac:dyDescent="0.3">
      <c r="B4" s="2" t="s">
        <v>37</v>
      </c>
      <c r="C4" t="s">
        <v>47</v>
      </c>
    </row>
    <row r="5" spans="2:3" x14ac:dyDescent="0.3">
      <c r="B5" s="3" t="s">
        <v>12</v>
      </c>
      <c r="C5">
        <v>24</v>
      </c>
    </row>
    <row r="6" spans="2:3" x14ac:dyDescent="0.3">
      <c r="B6" s="3" t="s">
        <v>13</v>
      </c>
      <c r="C6">
        <v>10</v>
      </c>
    </row>
    <row r="7" spans="2:3" x14ac:dyDescent="0.3">
      <c r="B7" s="3" t="s">
        <v>14</v>
      </c>
      <c r="C7">
        <v>32</v>
      </c>
    </row>
    <row r="8" spans="2:3" x14ac:dyDescent="0.3">
      <c r="B8" s="3" t="s">
        <v>15</v>
      </c>
      <c r="C8">
        <v>5</v>
      </c>
    </row>
    <row r="9" spans="2:3" x14ac:dyDescent="0.3">
      <c r="B9" s="3" t="s">
        <v>16</v>
      </c>
      <c r="C9">
        <v>38</v>
      </c>
    </row>
    <row r="10" spans="2:3" x14ac:dyDescent="0.3">
      <c r="B10" s="3" t="s">
        <v>17</v>
      </c>
      <c r="C10">
        <v>1</v>
      </c>
    </row>
    <row r="11" spans="2:3" x14ac:dyDescent="0.3">
      <c r="B11" s="3" t="s">
        <v>18</v>
      </c>
      <c r="C11">
        <v>24</v>
      </c>
    </row>
    <row r="12" spans="2:3" x14ac:dyDescent="0.3">
      <c r="B12" s="3" t="s">
        <v>19</v>
      </c>
      <c r="C12">
        <v>11</v>
      </c>
    </row>
    <row r="13" spans="2:3" x14ac:dyDescent="0.3">
      <c r="B13" s="3" t="s">
        <v>20</v>
      </c>
      <c r="C13">
        <v>32</v>
      </c>
    </row>
    <row r="14" spans="2:3" x14ac:dyDescent="0.3">
      <c r="B14" s="3" t="s">
        <v>21</v>
      </c>
      <c r="C14">
        <v>4</v>
      </c>
    </row>
    <row r="15" spans="2:3" x14ac:dyDescent="0.3">
      <c r="B15" s="3" t="s">
        <v>22</v>
      </c>
      <c r="C15">
        <v>24</v>
      </c>
    </row>
    <row r="16" spans="2:3" x14ac:dyDescent="0.3">
      <c r="B16" s="3" t="s">
        <v>23</v>
      </c>
      <c r="C16">
        <v>11</v>
      </c>
    </row>
    <row r="17" spans="2:3" x14ac:dyDescent="0.3">
      <c r="B17" s="3" t="s">
        <v>24</v>
      </c>
      <c r="C17">
        <v>38</v>
      </c>
    </row>
    <row r="18" spans="2:3" x14ac:dyDescent="0.3">
      <c r="B18" s="3" t="s">
        <v>25</v>
      </c>
      <c r="C18">
        <v>1</v>
      </c>
    </row>
    <row r="19" spans="2:3" x14ac:dyDescent="0.3">
      <c r="B19" s="3" t="s">
        <v>26</v>
      </c>
      <c r="C19">
        <v>32</v>
      </c>
    </row>
    <row r="20" spans="2:3" x14ac:dyDescent="0.3">
      <c r="B20" s="3" t="s">
        <v>27</v>
      </c>
      <c r="C20">
        <v>24</v>
      </c>
    </row>
    <row r="21" spans="2:3" x14ac:dyDescent="0.3">
      <c r="B21" s="3" t="s">
        <v>28</v>
      </c>
      <c r="C21">
        <v>10</v>
      </c>
    </row>
    <row r="22" spans="2:3" x14ac:dyDescent="0.3">
      <c r="B22" s="3" t="s">
        <v>29</v>
      </c>
      <c r="C22">
        <v>32</v>
      </c>
    </row>
    <row r="23" spans="2:3" x14ac:dyDescent="0.3">
      <c r="B23" s="3" t="s">
        <v>30</v>
      </c>
      <c r="C23">
        <v>5</v>
      </c>
    </row>
    <row r="24" spans="2:3" x14ac:dyDescent="0.3">
      <c r="B24" s="3" t="s">
        <v>31</v>
      </c>
      <c r="C24">
        <v>38</v>
      </c>
    </row>
    <row r="25" spans="2:3" x14ac:dyDescent="0.3">
      <c r="B25" s="3" t="s">
        <v>38</v>
      </c>
      <c r="C25">
        <v>396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D3CE8-637B-47C1-8D42-E85F2A5CF799}">
  <dimension ref="C2:S5"/>
  <sheetViews>
    <sheetView tabSelected="1" zoomScale="65" zoomScaleNormal="70" workbookViewId="0">
      <selection activeCell="P31" sqref="P31"/>
    </sheetView>
  </sheetViews>
  <sheetFormatPr defaultRowHeight="14.4" x14ac:dyDescent="0.3"/>
  <cols>
    <col min="1" max="16384" width="8.88671875" style="5"/>
  </cols>
  <sheetData>
    <row r="2" spans="3:19" ht="21" x14ac:dyDescent="0.4">
      <c r="C2" s="8" t="str">
        <f>"Avg Focus: "&amp;ROUND(AVERAGE(Data_set!J:J),0)</f>
        <v>Avg Focus: 72</v>
      </c>
      <c r="D2" s="8"/>
      <c r="G2" s="9" t="str">
        <f>"Total Tasks: "&amp;SUM(Data_set!H:H)</f>
        <v>Total Tasks: 87</v>
      </c>
      <c r="H2" s="9"/>
      <c r="I2" s="8" t="str">
        <f>"Screen Time: "&amp;ROUND(AVERAGE(Data_set!C:C),1)</f>
        <v>Screen Time: 6.3</v>
      </c>
      <c r="J2" s="8"/>
      <c r="K2" s="10"/>
      <c r="Q2" s="8" t="str">
        <f>"Productivity: "&amp;ROUND(AVERAGE(Data_set!K:K),0)</f>
        <v>Productivity: 20</v>
      </c>
      <c r="R2" s="8"/>
      <c r="S2" s="10"/>
    </row>
    <row r="4" spans="3:19" ht="33.6" x14ac:dyDescent="0.65">
      <c r="H4" s="11"/>
    </row>
    <row r="5" spans="3:19" ht="46.2" x14ac:dyDescent="0.85">
      <c r="H5" s="6"/>
      <c r="I5" s="7"/>
      <c r="J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6FED0-D5AA-4C11-AB4D-141A4A2B91CF}">
  <dimension ref="A1:E24"/>
  <sheetViews>
    <sheetView workbookViewId="0">
      <selection activeCell="C1" sqref="C1"/>
    </sheetView>
  </sheetViews>
  <sheetFormatPr defaultRowHeight="14.4" x14ac:dyDescent="0.3"/>
  <cols>
    <col min="1" max="1" width="12.5546875" bestFit="1" customWidth="1"/>
    <col min="2" max="2" width="21.33203125" bestFit="1" customWidth="1"/>
    <col min="6" max="6" width="12.5546875" bestFit="1" customWidth="1"/>
    <col min="7" max="7" width="12.6640625" bestFit="1" customWidth="1"/>
  </cols>
  <sheetData>
    <row r="1" spans="1:5" ht="28.8" x14ac:dyDescent="0.55000000000000004">
      <c r="A1" s="4" t="s">
        <v>40</v>
      </c>
      <c r="E1" s="4"/>
    </row>
    <row r="3" spans="1:5" x14ac:dyDescent="0.3">
      <c r="A3" s="2" t="s">
        <v>37</v>
      </c>
      <c r="B3" t="s">
        <v>39</v>
      </c>
    </row>
    <row r="4" spans="1:5" x14ac:dyDescent="0.3">
      <c r="A4" s="3" t="s">
        <v>12</v>
      </c>
      <c r="B4">
        <v>78</v>
      </c>
    </row>
    <row r="5" spans="1:5" x14ac:dyDescent="0.3">
      <c r="A5" s="3" t="s">
        <v>13</v>
      </c>
      <c r="B5">
        <v>60</v>
      </c>
    </row>
    <row r="6" spans="1:5" x14ac:dyDescent="0.3">
      <c r="A6" s="3" t="s">
        <v>14</v>
      </c>
      <c r="B6">
        <v>85</v>
      </c>
    </row>
    <row r="7" spans="1:5" x14ac:dyDescent="0.3">
      <c r="A7" s="3" t="s">
        <v>15</v>
      </c>
      <c r="B7">
        <v>55</v>
      </c>
    </row>
    <row r="8" spans="1:5" x14ac:dyDescent="0.3">
      <c r="A8" s="3" t="s">
        <v>16</v>
      </c>
      <c r="B8">
        <v>90</v>
      </c>
    </row>
    <row r="9" spans="1:5" x14ac:dyDescent="0.3">
      <c r="A9" s="3" t="s">
        <v>17</v>
      </c>
      <c r="B9">
        <v>50</v>
      </c>
    </row>
    <row r="10" spans="1:5" x14ac:dyDescent="0.3">
      <c r="A10" s="3" t="s">
        <v>18</v>
      </c>
      <c r="B10">
        <v>75</v>
      </c>
    </row>
    <row r="11" spans="1:5" x14ac:dyDescent="0.3">
      <c r="A11" s="3" t="s">
        <v>19</v>
      </c>
      <c r="B11">
        <v>62</v>
      </c>
    </row>
    <row r="12" spans="1:5" x14ac:dyDescent="0.3">
      <c r="A12" s="3" t="s">
        <v>20</v>
      </c>
      <c r="B12">
        <v>88</v>
      </c>
    </row>
    <row r="13" spans="1:5" x14ac:dyDescent="0.3">
      <c r="A13" s="3" t="s">
        <v>21</v>
      </c>
      <c r="B13">
        <v>52</v>
      </c>
    </row>
    <row r="14" spans="1:5" x14ac:dyDescent="0.3">
      <c r="A14" s="3" t="s">
        <v>22</v>
      </c>
      <c r="B14">
        <v>77</v>
      </c>
    </row>
    <row r="15" spans="1:5" x14ac:dyDescent="0.3">
      <c r="A15" s="3" t="s">
        <v>23</v>
      </c>
      <c r="B15">
        <v>63</v>
      </c>
    </row>
    <row r="16" spans="1:5" x14ac:dyDescent="0.3">
      <c r="A16" s="3" t="s">
        <v>24</v>
      </c>
      <c r="B16">
        <v>91</v>
      </c>
    </row>
    <row r="17" spans="1:2" x14ac:dyDescent="0.3">
      <c r="A17" s="3" t="s">
        <v>25</v>
      </c>
      <c r="B17">
        <v>49</v>
      </c>
    </row>
    <row r="18" spans="1:2" x14ac:dyDescent="0.3">
      <c r="A18" s="3" t="s">
        <v>26</v>
      </c>
      <c r="B18">
        <v>89</v>
      </c>
    </row>
    <row r="19" spans="1:2" x14ac:dyDescent="0.3">
      <c r="A19" s="3" t="s">
        <v>27</v>
      </c>
      <c r="B19">
        <v>76</v>
      </c>
    </row>
    <row r="20" spans="1:2" x14ac:dyDescent="0.3">
      <c r="A20" s="3" t="s">
        <v>28</v>
      </c>
      <c r="B20">
        <v>61</v>
      </c>
    </row>
    <row r="21" spans="1:2" x14ac:dyDescent="0.3">
      <c r="A21" s="3" t="s">
        <v>29</v>
      </c>
      <c r="B21">
        <v>87</v>
      </c>
    </row>
    <row r="22" spans="1:2" x14ac:dyDescent="0.3">
      <c r="A22" s="3" t="s">
        <v>30</v>
      </c>
      <c r="B22">
        <v>54</v>
      </c>
    </row>
    <row r="23" spans="1:2" x14ac:dyDescent="0.3">
      <c r="A23" s="3" t="s">
        <v>31</v>
      </c>
      <c r="B23">
        <v>92</v>
      </c>
    </row>
    <row r="24" spans="1:2" x14ac:dyDescent="0.3">
      <c r="A24" s="3" t="s">
        <v>38</v>
      </c>
      <c r="B24">
        <v>71.7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A5F8-1BFA-43FF-AB7A-672BDE9F2379}">
  <dimension ref="B2:D25"/>
  <sheetViews>
    <sheetView topLeftCell="A2" workbookViewId="0">
      <selection activeCell="H2" sqref="H2"/>
    </sheetView>
  </sheetViews>
  <sheetFormatPr defaultRowHeight="14.4" x14ac:dyDescent="0.3"/>
  <cols>
    <col min="2" max="2" width="12.5546875" bestFit="1" customWidth="1"/>
    <col min="3" max="3" width="23.44140625" bestFit="1" customWidth="1"/>
    <col min="4" max="4" width="18.44140625" bestFit="1" customWidth="1"/>
  </cols>
  <sheetData>
    <row r="2" spans="2:4" ht="28.8" x14ac:dyDescent="0.55000000000000004">
      <c r="B2" s="4" t="s">
        <v>43</v>
      </c>
    </row>
    <row r="4" spans="2:4" x14ac:dyDescent="0.3">
      <c r="B4" s="2" t="s">
        <v>37</v>
      </c>
      <c r="C4" t="s">
        <v>44</v>
      </c>
      <c r="D4" t="s">
        <v>45</v>
      </c>
    </row>
    <row r="5" spans="2:4" x14ac:dyDescent="0.3">
      <c r="B5" s="3" t="s">
        <v>12</v>
      </c>
      <c r="C5">
        <v>6</v>
      </c>
      <c r="D5">
        <v>4</v>
      </c>
    </row>
    <row r="6" spans="2:4" x14ac:dyDescent="0.3">
      <c r="B6" s="3" t="s">
        <v>13</v>
      </c>
      <c r="C6">
        <v>8</v>
      </c>
      <c r="D6">
        <v>3</v>
      </c>
    </row>
    <row r="7" spans="2:4" x14ac:dyDescent="0.3">
      <c r="B7" s="3" t="s">
        <v>14</v>
      </c>
      <c r="C7">
        <v>5</v>
      </c>
      <c r="D7">
        <v>5</v>
      </c>
    </row>
    <row r="8" spans="2:4" x14ac:dyDescent="0.3">
      <c r="B8" s="3" t="s">
        <v>15</v>
      </c>
      <c r="C8">
        <v>7</v>
      </c>
      <c r="D8">
        <v>2</v>
      </c>
    </row>
    <row r="9" spans="2:4" x14ac:dyDescent="0.3">
      <c r="B9" s="3" t="s">
        <v>16</v>
      </c>
      <c r="C9">
        <v>4</v>
      </c>
      <c r="D9">
        <v>6</v>
      </c>
    </row>
    <row r="10" spans="2:4" x14ac:dyDescent="0.3">
      <c r="B10" s="3" t="s">
        <v>17</v>
      </c>
      <c r="C10">
        <v>9</v>
      </c>
      <c r="D10">
        <v>2</v>
      </c>
    </row>
    <row r="11" spans="2:4" x14ac:dyDescent="0.3">
      <c r="B11" s="3" t="s">
        <v>18</v>
      </c>
      <c r="C11">
        <v>6</v>
      </c>
      <c r="D11">
        <v>4</v>
      </c>
    </row>
    <row r="12" spans="2:4" x14ac:dyDescent="0.3">
      <c r="B12" s="3" t="s">
        <v>19</v>
      </c>
      <c r="C12">
        <v>7</v>
      </c>
      <c r="D12">
        <v>3</v>
      </c>
    </row>
    <row r="13" spans="2:4" x14ac:dyDescent="0.3">
      <c r="B13" s="3" t="s">
        <v>20</v>
      </c>
      <c r="C13">
        <v>5</v>
      </c>
      <c r="D13">
        <v>5</v>
      </c>
    </row>
    <row r="14" spans="2:4" x14ac:dyDescent="0.3">
      <c r="B14" s="3" t="s">
        <v>21</v>
      </c>
      <c r="C14">
        <v>8</v>
      </c>
      <c r="D14">
        <v>2</v>
      </c>
    </row>
    <row r="15" spans="2:4" x14ac:dyDescent="0.3">
      <c r="B15" s="3" t="s">
        <v>22</v>
      </c>
      <c r="C15">
        <v>6</v>
      </c>
      <c r="D15">
        <v>4</v>
      </c>
    </row>
    <row r="16" spans="2:4" x14ac:dyDescent="0.3">
      <c r="B16" s="3" t="s">
        <v>23</v>
      </c>
      <c r="C16">
        <v>7</v>
      </c>
      <c r="D16">
        <v>3</v>
      </c>
    </row>
    <row r="17" spans="2:4" x14ac:dyDescent="0.3">
      <c r="B17" s="3" t="s">
        <v>24</v>
      </c>
      <c r="C17">
        <v>4</v>
      </c>
      <c r="D17">
        <v>6</v>
      </c>
    </row>
    <row r="18" spans="2:4" x14ac:dyDescent="0.3">
      <c r="B18" s="3" t="s">
        <v>25</v>
      </c>
      <c r="C18">
        <v>9</v>
      </c>
      <c r="D18">
        <v>2</v>
      </c>
    </row>
    <row r="19" spans="2:4" x14ac:dyDescent="0.3">
      <c r="B19" s="3" t="s">
        <v>26</v>
      </c>
      <c r="C19">
        <v>5</v>
      </c>
      <c r="D19">
        <v>5</v>
      </c>
    </row>
    <row r="20" spans="2:4" x14ac:dyDescent="0.3">
      <c r="B20" s="3" t="s">
        <v>27</v>
      </c>
      <c r="C20">
        <v>6</v>
      </c>
      <c r="D20">
        <v>4</v>
      </c>
    </row>
    <row r="21" spans="2:4" x14ac:dyDescent="0.3">
      <c r="B21" s="3" t="s">
        <v>28</v>
      </c>
      <c r="C21">
        <v>8</v>
      </c>
      <c r="D21">
        <v>3</v>
      </c>
    </row>
    <row r="22" spans="2:4" x14ac:dyDescent="0.3">
      <c r="B22" s="3" t="s">
        <v>29</v>
      </c>
      <c r="C22">
        <v>5</v>
      </c>
      <c r="D22">
        <v>5</v>
      </c>
    </row>
    <row r="23" spans="2:4" x14ac:dyDescent="0.3">
      <c r="B23" s="3" t="s">
        <v>30</v>
      </c>
      <c r="C23">
        <v>7</v>
      </c>
      <c r="D23">
        <v>2</v>
      </c>
    </row>
    <row r="24" spans="2:4" x14ac:dyDescent="0.3">
      <c r="B24" s="3" t="s">
        <v>31</v>
      </c>
      <c r="C24">
        <v>4</v>
      </c>
      <c r="D24">
        <v>6</v>
      </c>
    </row>
    <row r="25" spans="2:4" x14ac:dyDescent="0.3">
      <c r="B25" s="3" t="s">
        <v>38</v>
      </c>
      <c r="C25">
        <v>126</v>
      </c>
      <c r="D25">
        <v>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workbookViewId="0">
      <selection activeCell="L1" sqref="L1"/>
    </sheetView>
  </sheetViews>
  <sheetFormatPr defaultRowHeight="14.4" x14ac:dyDescent="0.3"/>
  <cols>
    <col min="1" max="1" width="10.33203125" bestFit="1" customWidth="1"/>
    <col min="2" max="2" width="4.77734375" bestFit="1" customWidth="1"/>
    <col min="3" max="3" width="16.77734375" bestFit="1" customWidth="1"/>
    <col min="4" max="4" width="11.77734375" bestFit="1" customWidth="1"/>
    <col min="5" max="5" width="11.44140625" bestFit="1" customWidth="1"/>
    <col min="6" max="6" width="17.33203125" bestFit="1" customWidth="1"/>
    <col min="7" max="7" width="13.6640625" bestFit="1" customWidth="1"/>
    <col min="8" max="8" width="15.88671875" bestFit="1" customWidth="1"/>
    <col min="10" max="10" width="11.44140625" bestFit="1" customWidth="1"/>
    <col min="11" max="11" width="16" bestFit="1" customWidth="1"/>
    <col min="12" max="12" width="12.88671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32</v>
      </c>
      <c r="C2">
        <v>6</v>
      </c>
      <c r="D2">
        <v>4</v>
      </c>
      <c r="E2">
        <v>7</v>
      </c>
      <c r="F2">
        <v>2</v>
      </c>
      <c r="G2">
        <v>1</v>
      </c>
      <c r="H2">
        <v>5</v>
      </c>
      <c r="I2" t="s">
        <v>33</v>
      </c>
      <c r="J2">
        <v>78</v>
      </c>
      <c r="K2">
        <v>24</v>
      </c>
      <c r="L2">
        <v>1</v>
      </c>
    </row>
    <row r="3" spans="1:12" x14ac:dyDescent="0.3">
      <c r="A3" t="s">
        <v>13</v>
      </c>
      <c r="B3" t="s">
        <v>32</v>
      </c>
      <c r="C3">
        <v>8</v>
      </c>
      <c r="D3">
        <v>3</v>
      </c>
      <c r="E3">
        <v>6</v>
      </c>
      <c r="F3">
        <v>3</v>
      </c>
      <c r="G3">
        <v>0</v>
      </c>
      <c r="H3">
        <v>3</v>
      </c>
      <c r="I3" t="s">
        <v>34</v>
      </c>
      <c r="J3">
        <v>60</v>
      </c>
      <c r="K3">
        <v>10</v>
      </c>
      <c r="L3">
        <v>0</v>
      </c>
    </row>
    <row r="4" spans="1:12" x14ac:dyDescent="0.3">
      <c r="A4" t="s">
        <v>14</v>
      </c>
      <c r="B4" t="s">
        <v>32</v>
      </c>
      <c r="C4">
        <v>5</v>
      </c>
      <c r="D4">
        <v>5</v>
      </c>
      <c r="E4">
        <v>8</v>
      </c>
      <c r="F4">
        <v>1</v>
      </c>
      <c r="G4">
        <v>1</v>
      </c>
      <c r="H4">
        <v>6</v>
      </c>
      <c r="I4" t="s">
        <v>35</v>
      </c>
      <c r="J4">
        <v>85</v>
      </c>
      <c r="K4">
        <v>32</v>
      </c>
      <c r="L4">
        <v>1</v>
      </c>
    </row>
    <row r="5" spans="1:12" x14ac:dyDescent="0.3">
      <c r="A5" t="s">
        <v>15</v>
      </c>
      <c r="B5" t="s">
        <v>32</v>
      </c>
      <c r="C5">
        <v>7</v>
      </c>
      <c r="D5">
        <v>2</v>
      </c>
      <c r="E5">
        <v>6</v>
      </c>
      <c r="F5">
        <v>4</v>
      </c>
      <c r="G5">
        <v>0</v>
      </c>
      <c r="H5">
        <v>2</v>
      </c>
      <c r="I5" t="s">
        <v>34</v>
      </c>
      <c r="J5">
        <v>55</v>
      </c>
      <c r="K5">
        <v>5</v>
      </c>
      <c r="L5">
        <v>0</v>
      </c>
    </row>
    <row r="6" spans="1:12" x14ac:dyDescent="0.3">
      <c r="A6" t="s">
        <v>16</v>
      </c>
      <c r="B6" t="s">
        <v>32</v>
      </c>
      <c r="C6">
        <v>4</v>
      </c>
      <c r="D6">
        <v>6</v>
      </c>
      <c r="E6">
        <v>8</v>
      </c>
      <c r="F6">
        <v>1</v>
      </c>
      <c r="G6">
        <v>1</v>
      </c>
      <c r="H6">
        <v>7</v>
      </c>
      <c r="I6" t="s">
        <v>35</v>
      </c>
      <c r="J6">
        <v>90</v>
      </c>
      <c r="K6">
        <v>38</v>
      </c>
      <c r="L6">
        <v>1</v>
      </c>
    </row>
    <row r="7" spans="1:12" x14ac:dyDescent="0.3">
      <c r="A7" t="s">
        <v>17</v>
      </c>
      <c r="B7" t="s">
        <v>32</v>
      </c>
      <c r="C7">
        <v>9</v>
      </c>
      <c r="D7">
        <v>2</v>
      </c>
      <c r="E7">
        <v>5</v>
      </c>
      <c r="F7">
        <v>5</v>
      </c>
      <c r="G7">
        <v>0</v>
      </c>
      <c r="H7">
        <v>2</v>
      </c>
      <c r="I7" t="s">
        <v>36</v>
      </c>
      <c r="J7">
        <v>50</v>
      </c>
      <c r="K7">
        <v>1</v>
      </c>
      <c r="L7">
        <v>0</v>
      </c>
    </row>
    <row r="8" spans="1:12" x14ac:dyDescent="0.3">
      <c r="A8" t="s">
        <v>18</v>
      </c>
      <c r="B8" t="s">
        <v>32</v>
      </c>
      <c r="C8">
        <v>6</v>
      </c>
      <c r="D8">
        <v>4</v>
      </c>
      <c r="E8">
        <v>7</v>
      </c>
      <c r="F8">
        <v>2</v>
      </c>
      <c r="G8">
        <v>1</v>
      </c>
      <c r="H8">
        <v>5</v>
      </c>
      <c r="I8" t="s">
        <v>33</v>
      </c>
      <c r="J8">
        <v>75</v>
      </c>
      <c r="K8">
        <v>24</v>
      </c>
      <c r="L8">
        <v>1</v>
      </c>
    </row>
    <row r="9" spans="1:12" x14ac:dyDescent="0.3">
      <c r="A9" t="s">
        <v>19</v>
      </c>
      <c r="B9" t="s">
        <v>32</v>
      </c>
      <c r="C9">
        <v>7</v>
      </c>
      <c r="D9">
        <v>3</v>
      </c>
      <c r="E9">
        <v>6</v>
      </c>
      <c r="F9">
        <v>3</v>
      </c>
      <c r="G9">
        <v>0</v>
      </c>
      <c r="H9">
        <v>3</v>
      </c>
      <c r="I9" t="s">
        <v>34</v>
      </c>
      <c r="J9">
        <v>62</v>
      </c>
      <c r="K9">
        <v>11</v>
      </c>
      <c r="L9">
        <v>0</v>
      </c>
    </row>
    <row r="10" spans="1:12" x14ac:dyDescent="0.3">
      <c r="A10" t="s">
        <v>20</v>
      </c>
      <c r="B10" t="s">
        <v>32</v>
      </c>
      <c r="C10">
        <v>5</v>
      </c>
      <c r="D10">
        <v>5</v>
      </c>
      <c r="E10">
        <v>8</v>
      </c>
      <c r="F10">
        <v>1</v>
      </c>
      <c r="G10">
        <v>1</v>
      </c>
      <c r="H10">
        <v>6</v>
      </c>
      <c r="I10" t="s">
        <v>35</v>
      </c>
      <c r="J10">
        <v>88</v>
      </c>
      <c r="K10">
        <v>32</v>
      </c>
      <c r="L10">
        <v>1</v>
      </c>
    </row>
    <row r="11" spans="1:12" x14ac:dyDescent="0.3">
      <c r="A11" t="s">
        <v>21</v>
      </c>
      <c r="B11" t="s">
        <v>32</v>
      </c>
      <c r="C11">
        <v>8</v>
      </c>
      <c r="D11">
        <v>2</v>
      </c>
      <c r="E11">
        <v>6</v>
      </c>
      <c r="F11">
        <v>4</v>
      </c>
      <c r="G11">
        <v>0</v>
      </c>
      <c r="H11">
        <v>2</v>
      </c>
      <c r="I11" t="s">
        <v>36</v>
      </c>
      <c r="J11">
        <v>52</v>
      </c>
      <c r="K11">
        <v>4</v>
      </c>
      <c r="L11">
        <v>0</v>
      </c>
    </row>
    <row r="12" spans="1:12" x14ac:dyDescent="0.3">
      <c r="A12" t="s">
        <v>22</v>
      </c>
      <c r="B12" t="s">
        <v>32</v>
      </c>
      <c r="C12">
        <v>6</v>
      </c>
      <c r="D12">
        <v>4</v>
      </c>
      <c r="E12">
        <v>7</v>
      </c>
      <c r="F12">
        <v>2</v>
      </c>
      <c r="G12">
        <v>1</v>
      </c>
      <c r="H12">
        <v>5</v>
      </c>
      <c r="I12" t="s">
        <v>33</v>
      </c>
      <c r="J12">
        <v>77</v>
      </c>
      <c r="K12">
        <v>24</v>
      </c>
      <c r="L12">
        <v>1</v>
      </c>
    </row>
    <row r="13" spans="1:12" x14ac:dyDescent="0.3">
      <c r="A13" t="s">
        <v>23</v>
      </c>
      <c r="B13" t="s">
        <v>32</v>
      </c>
      <c r="C13">
        <v>7</v>
      </c>
      <c r="D13">
        <v>3</v>
      </c>
      <c r="E13">
        <v>6</v>
      </c>
      <c r="F13">
        <v>3</v>
      </c>
      <c r="G13">
        <v>0</v>
      </c>
      <c r="H13">
        <v>3</v>
      </c>
      <c r="I13" t="s">
        <v>34</v>
      </c>
      <c r="J13">
        <v>63</v>
      </c>
      <c r="K13">
        <v>11</v>
      </c>
      <c r="L13">
        <v>0</v>
      </c>
    </row>
    <row r="14" spans="1:12" x14ac:dyDescent="0.3">
      <c r="A14" t="s">
        <v>24</v>
      </c>
      <c r="B14" t="s">
        <v>32</v>
      </c>
      <c r="C14">
        <v>4</v>
      </c>
      <c r="D14">
        <v>6</v>
      </c>
      <c r="E14">
        <v>8</v>
      </c>
      <c r="F14">
        <v>1</v>
      </c>
      <c r="G14">
        <v>1</v>
      </c>
      <c r="H14">
        <v>7</v>
      </c>
      <c r="I14" t="s">
        <v>35</v>
      </c>
      <c r="J14">
        <v>91</v>
      </c>
      <c r="K14">
        <v>38</v>
      </c>
      <c r="L14">
        <v>1</v>
      </c>
    </row>
    <row r="15" spans="1:12" x14ac:dyDescent="0.3">
      <c r="A15" t="s">
        <v>25</v>
      </c>
      <c r="B15" t="s">
        <v>32</v>
      </c>
      <c r="C15">
        <v>9</v>
      </c>
      <c r="D15">
        <v>2</v>
      </c>
      <c r="E15">
        <v>5</v>
      </c>
      <c r="F15">
        <v>5</v>
      </c>
      <c r="G15">
        <v>0</v>
      </c>
      <c r="H15">
        <v>2</v>
      </c>
      <c r="I15" t="s">
        <v>36</v>
      </c>
      <c r="J15">
        <v>49</v>
      </c>
      <c r="K15">
        <v>1</v>
      </c>
      <c r="L15">
        <v>0</v>
      </c>
    </row>
    <row r="16" spans="1:12" x14ac:dyDescent="0.3">
      <c r="A16" t="s">
        <v>26</v>
      </c>
      <c r="B16" t="s">
        <v>32</v>
      </c>
      <c r="C16">
        <v>5</v>
      </c>
      <c r="D16">
        <v>5</v>
      </c>
      <c r="E16">
        <v>8</v>
      </c>
      <c r="F16">
        <v>1</v>
      </c>
      <c r="G16">
        <v>1</v>
      </c>
      <c r="H16">
        <v>6</v>
      </c>
      <c r="I16" t="s">
        <v>35</v>
      </c>
      <c r="J16">
        <v>89</v>
      </c>
      <c r="K16">
        <v>32</v>
      </c>
      <c r="L16">
        <v>1</v>
      </c>
    </row>
    <row r="17" spans="1:12" x14ac:dyDescent="0.3">
      <c r="A17" t="s">
        <v>27</v>
      </c>
      <c r="B17" t="s">
        <v>32</v>
      </c>
      <c r="C17">
        <v>6</v>
      </c>
      <c r="D17">
        <v>4</v>
      </c>
      <c r="E17">
        <v>7</v>
      </c>
      <c r="F17">
        <v>2</v>
      </c>
      <c r="G17">
        <v>1</v>
      </c>
      <c r="H17">
        <v>5</v>
      </c>
      <c r="I17" t="s">
        <v>33</v>
      </c>
      <c r="J17">
        <v>76</v>
      </c>
      <c r="K17">
        <v>24</v>
      </c>
      <c r="L17">
        <v>1</v>
      </c>
    </row>
    <row r="18" spans="1:12" x14ac:dyDescent="0.3">
      <c r="A18" t="s">
        <v>28</v>
      </c>
      <c r="B18" t="s">
        <v>32</v>
      </c>
      <c r="C18">
        <v>8</v>
      </c>
      <c r="D18">
        <v>3</v>
      </c>
      <c r="E18">
        <v>6</v>
      </c>
      <c r="F18">
        <v>3</v>
      </c>
      <c r="G18">
        <v>0</v>
      </c>
      <c r="H18">
        <v>3</v>
      </c>
      <c r="I18" t="s">
        <v>34</v>
      </c>
      <c r="J18">
        <v>61</v>
      </c>
      <c r="K18">
        <v>10</v>
      </c>
      <c r="L18">
        <v>0</v>
      </c>
    </row>
    <row r="19" spans="1:12" x14ac:dyDescent="0.3">
      <c r="A19" t="s">
        <v>29</v>
      </c>
      <c r="B19" t="s">
        <v>32</v>
      </c>
      <c r="C19">
        <v>5</v>
      </c>
      <c r="D19">
        <v>5</v>
      </c>
      <c r="E19">
        <v>8</v>
      </c>
      <c r="F19">
        <v>1</v>
      </c>
      <c r="G19">
        <v>1</v>
      </c>
      <c r="H19">
        <v>6</v>
      </c>
      <c r="I19" t="s">
        <v>35</v>
      </c>
      <c r="J19">
        <v>87</v>
      </c>
      <c r="K19">
        <v>32</v>
      </c>
      <c r="L19">
        <v>1</v>
      </c>
    </row>
    <row r="20" spans="1:12" x14ac:dyDescent="0.3">
      <c r="A20" t="s">
        <v>30</v>
      </c>
      <c r="B20" t="s">
        <v>32</v>
      </c>
      <c r="C20">
        <v>7</v>
      </c>
      <c r="D20">
        <v>2</v>
      </c>
      <c r="E20">
        <v>6</v>
      </c>
      <c r="F20">
        <v>4</v>
      </c>
      <c r="G20">
        <v>0</v>
      </c>
      <c r="H20">
        <v>2</v>
      </c>
      <c r="I20" t="s">
        <v>34</v>
      </c>
      <c r="J20">
        <v>54</v>
      </c>
      <c r="K20">
        <v>5</v>
      </c>
      <c r="L20">
        <v>0</v>
      </c>
    </row>
    <row r="21" spans="1:12" x14ac:dyDescent="0.3">
      <c r="A21" t="s">
        <v>31</v>
      </c>
      <c r="B21" t="s">
        <v>32</v>
      </c>
      <c r="C21">
        <v>4</v>
      </c>
      <c r="D21">
        <v>6</v>
      </c>
      <c r="E21">
        <v>8</v>
      </c>
      <c r="F21">
        <v>1</v>
      </c>
      <c r="G21">
        <v>1</v>
      </c>
      <c r="H21">
        <v>7</v>
      </c>
      <c r="I21" t="s">
        <v>35</v>
      </c>
      <c r="J21">
        <v>92</v>
      </c>
      <c r="K21">
        <v>38</v>
      </c>
      <c r="L2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Pivot2</vt:lpstr>
      <vt:lpstr>Pivot4</vt:lpstr>
      <vt:lpstr>Dashboard</vt:lpstr>
      <vt:lpstr>Pivot1</vt:lpstr>
      <vt:lpstr>Pivot3</vt:lpstr>
      <vt:lpstr>Data_set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Shruti Kolpyakwar</cp:lastModifiedBy>
  <dcterms:created xsi:type="dcterms:W3CDTF">2026-02-11T07:40:28Z</dcterms:created>
  <dcterms:modified xsi:type="dcterms:W3CDTF">2026-02-13T03:19:10Z</dcterms:modified>
</cp:coreProperties>
</file>